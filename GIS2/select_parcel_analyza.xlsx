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_ANALYSIS\GIS2\"/>
    </mc:Choice>
  </mc:AlternateContent>
  <xr:revisionPtr revIDLastSave="0" documentId="13_ncr:1_{7A449B2D-CD70-427A-A24E-E86EA12314A1}" xr6:coauthVersionLast="47" xr6:coauthVersionMax="47" xr10:uidLastSave="{00000000-0000-0000-0000-000000000000}"/>
  <bookViews>
    <workbookView xWindow="33390" yWindow="60" windowWidth="43155" windowHeight="30270" xr2:uid="{00000000-000D-0000-FFFF-FFFF00000000}"/>
  </bookViews>
  <sheets>
    <sheet name="Analyza_Pozemk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A2" i="1" s="1"/>
  <c r="I3" i="1"/>
  <c r="I4" i="1"/>
  <c r="I5" i="1"/>
  <c r="I6" i="1"/>
  <c r="A6" i="1" s="1"/>
  <c r="I7" i="1"/>
  <c r="I8" i="1"/>
  <c r="I9" i="1"/>
  <c r="A9" i="1" s="1"/>
  <c r="I10" i="1"/>
  <c r="A10" i="1" s="1"/>
  <c r="I11" i="1"/>
  <c r="A11" i="1" s="1"/>
  <c r="I12" i="1"/>
  <c r="A12" i="1" s="1"/>
  <c r="I13" i="1"/>
  <c r="A13" i="1" s="1"/>
  <c r="I14" i="1"/>
  <c r="I15" i="1"/>
  <c r="A15" i="1" s="1"/>
  <c r="I16" i="1"/>
  <c r="A16" i="1" s="1"/>
  <c r="I17" i="1"/>
  <c r="A17" i="1" s="1"/>
  <c r="I18" i="1"/>
  <c r="A18" i="1" s="1"/>
  <c r="I19" i="1"/>
  <c r="I20" i="1"/>
  <c r="A20" i="1" s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A64" i="1" s="1"/>
  <c r="I65" i="1"/>
  <c r="A65" i="1" s="1"/>
  <c r="I66" i="1"/>
  <c r="A66" i="1" s="1"/>
  <c r="I67" i="1"/>
  <c r="A67" i="1" s="1"/>
  <c r="I68" i="1"/>
  <c r="A68" i="1" s="1"/>
  <c r="I69" i="1"/>
  <c r="A69" i="1" s="1"/>
  <c r="I70" i="1"/>
  <c r="A70" i="1" s="1"/>
  <c r="I71" i="1"/>
  <c r="A71" i="1" s="1"/>
  <c r="I72" i="1"/>
  <c r="A72" i="1" s="1"/>
  <c r="I73" i="1"/>
  <c r="A73" i="1" s="1"/>
  <c r="I74" i="1"/>
  <c r="A74" i="1" s="1"/>
  <c r="I75" i="1"/>
  <c r="A75" i="1" s="1"/>
  <c r="I76" i="1"/>
  <c r="A76" i="1" s="1"/>
  <c r="I77" i="1"/>
  <c r="A77" i="1" s="1"/>
  <c r="I78" i="1"/>
  <c r="A78" i="1" s="1"/>
  <c r="I79" i="1"/>
  <c r="A79" i="1" s="1"/>
  <c r="I80" i="1"/>
  <c r="A80" i="1" s="1"/>
  <c r="I81" i="1"/>
  <c r="A81" i="1" s="1"/>
  <c r="I82" i="1"/>
  <c r="A82" i="1" s="1"/>
  <c r="I83" i="1"/>
  <c r="A83" i="1" s="1"/>
  <c r="I84" i="1"/>
  <c r="A84" i="1" s="1"/>
  <c r="I85" i="1"/>
  <c r="A85" i="1" s="1"/>
  <c r="I86" i="1"/>
  <c r="A86" i="1" s="1"/>
  <c r="I87" i="1"/>
  <c r="A87" i="1" s="1"/>
  <c r="I88" i="1"/>
  <c r="A88" i="1" s="1"/>
  <c r="I89" i="1"/>
  <c r="I90" i="1"/>
  <c r="I91" i="1"/>
  <c r="A91" i="1" s="1"/>
  <c r="I92" i="1"/>
  <c r="I93" i="1"/>
  <c r="A93" i="1" s="1"/>
  <c r="I94" i="1"/>
  <c r="A94" i="1" s="1"/>
  <c r="I95" i="1"/>
  <c r="A95" i="1" s="1"/>
  <c r="I96" i="1"/>
  <c r="A96" i="1" s="1"/>
  <c r="I97" i="1"/>
  <c r="A97" i="1" s="1"/>
  <c r="I98" i="1"/>
  <c r="A98" i="1" s="1"/>
  <c r="I99" i="1"/>
  <c r="I100" i="1"/>
  <c r="A100" i="1" s="1"/>
  <c r="I101" i="1"/>
  <c r="A101" i="1" s="1"/>
  <c r="I102" i="1"/>
  <c r="A102" i="1" s="1"/>
  <c r="I103" i="1"/>
  <c r="A103" i="1" s="1"/>
  <c r="I104" i="1"/>
  <c r="A104" i="1" s="1"/>
  <c r="I105" i="1"/>
  <c r="A105" i="1" s="1"/>
  <c r="I106" i="1"/>
  <c r="A106" i="1" s="1"/>
  <c r="I107" i="1"/>
  <c r="A107" i="1" s="1"/>
  <c r="I108" i="1"/>
  <c r="A108" i="1" s="1"/>
  <c r="I109" i="1"/>
  <c r="A109" i="1" s="1"/>
  <c r="I110" i="1"/>
  <c r="A110" i="1" s="1"/>
  <c r="I111" i="1"/>
  <c r="A111" i="1" s="1"/>
  <c r="I112" i="1"/>
  <c r="A112" i="1" s="1"/>
  <c r="I113" i="1"/>
  <c r="A113" i="1" s="1"/>
  <c r="H2" i="1"/>
  <c r="H3" i="1"/>
  <c r="H4" i="1"/>
  <c r="H5" i="1"/>
  <c r="A5" i="1" s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A89" i="1" s="1"/>
  <c r="H90" i="1"/>
  <c r="A90" i="1" s="1"/>
  <c r="H91" i="1"/>
  <c r="H92" i="1"/>
  <c r="A92" i="1" s="1"/>
  <c r="H93" i="1"/>
  <c r="H94" i="1"/>
  <c r="H95" i="1"/>
  <c r="H96" i="1"/>
  <c r="H97" i="1"/>
  <c r="H98" i="1"/>
  <c r="H99" i="1"/>
  <c r="A99" i="1" s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19" i="1"/>
  <c r="A14" i="1"/>
  <c r="A8" i="1"/>
  <c r="A7" i="1"/>
  <c r="A4" i="1" l="1"/>
  <c r="A3" i="1"/>
</calcChain>
</file>

<file path=xl/sharedStrings.xml><?xml version="1.0" encoding="utf-8"?>
<sst xmlns="http://schemas.openxmlformats.org/spreadsheetml/2006/main" count="799" uniqueCount="263">
  <si>
    <t>okres</t>
  </si>
  <si>
    <t>kat_uzemi</t>
  </si>
  <si>
    <t>parcelni_cislo</t>
  </si>
  <si>
    <t>vymera</t>
  </si>
  <si>
    <t>uzemni_plan</t>
  </si>
  <si>
    <t>druh_pozemku</t>
  </si>
  <si>
    <t>LV</t>
  </si>
  <si>
    <t>info_text</t>
  </si>
  <si>
    <t>datum_podani</t>
  </si>
  <si>
    <t>cislo_vkladu</t>
  </si>
  <si>
    <t>cenovy_udaj</t>
  </si>
  <si>
    <t>celkova_vymera_vkladu</t>
  </si>
  <si>
    <t>pocet_parcel_ve_vkladu</t>
  </si>
  <si>
    <t>jednotkova_cena</t>
  </si>
  <si>
    <t>Hlavní město Praha</t>
  </si>
  <si>
    <t>Šeberov</t>
  </si>
  <si>
    <t>Letňany</t>
  </si>
  <si>
    <t>Ruzyně</t>
  </si>
  <si>
    <t>Smíchov</t>
  </si>
  <si>
    <t>Řepy</t>
  </si>
  <si>
    <t>Veleslavín</t>
  </si>
  <si>
    <t>Žižkov</t>
  </si>
  <si>
    <t>Stodůlky</t>
  </si>
  <si>
    <t>Záběhlice</t>
  </si>
  <si>
    <t>Horní Počernice</t>
  </si>
  <si>
    <t>Strašnice</t>
  </si>
  <si>
    <t>Kunratice</t>
  </si>
  <si>
    <t>Újezd u Průhonic</t>
  </si>
  <si>
    <t>Krč</t>
  </si>
  <si>
    <t>Malešice</t>
  </si>
  <si>
    <t>Braník</t>
  </si>
  <si>
    <t>Michle</t>
  </si>
  <si>
    <t>Chodov</t>
  </si>
  <si>
    <t>Liboc</t>
  </si>
  <si>
    <t>Holešovice</t>
  </si>
  <si>
    <t>Kyje</t>
  </si>
  <si>
    <t>Hostivař</t>
  </si>
  <si>
    <t>1480/3</t>
  </si>
  <si>
    <t>524/2</t>
  </si>
  <si>
    <t>2888/9</t>
  </si>
  <si>
    <t>2888/11</t>
  </si>
  <si>
    <t>4706/1</t>
  </si>
  <si>
    <t>1497/3</t>
  </si>
  <si>
    <t>299/175</t>
  </si>
  <si>
    <t>2974/21</t>
  </si>
  <si>
    <t>3065/17</t>
  </si>
  <si>
    <t>299/168</t>
  </si>
  <si>
    <t>607/3</t>
  </si>
  <si>
    <t>2173/35</t>
  </si>
  <si>
    <t>5928/7</t>
  </si>
  <si>
    <t>1177/112</t>
  </si>
  <si>
    <t>2173/34</t>
  </si>
  <si>
    <t>4416/7</t>
  </si>
  <si>
    <t>4416/9</t>
  </si>
  <si>
    <t>1547/7</t>
  </si>
  <si>
    <t>4416/25</t>
  </si>
  <si>
    <t>2339/137</t>
  </si>
  <si>
    <t>5849/3</t>
  </si>
  <si>
    <t>4416/18</t>
  </si>
  <si>
    <t>213/18</t>
  </si>
  <si>
    <t>3218/5</t>
  </si>
  <si>
    <t>2643/9</t>
  </si>
  <si>
    <t>2339/136</t>
  </si>
  <si>
    <t>2220/3</t>
  </si>
  <si>
    <t>4416/24</t>
  </si>
  <si>
    <t>4416/14</t>
  </si>
  <si>
    <t>287/25</t>
  </si>
  <si>
    <t>4416/19</t>
  </si>
  <si>
    <t>5019/104</t>
  </si>
  <si>
    <t>2888/21</t>
  </si>
  <si>
    <t>736/2</t>
  </si>
  <si>
    <t>2339/139</t>
  </si>
  <si>
    <t>4813/11</t>
  </si>
  <si>
    <t>2339/145</t>
  </si>
  <si>
    <t>147</t>
  </si>
  <si>
    <t>1480/4</t>
  </si>
  <si>
    <t>1177/113</t>
  </si>
  <si>
    <t>16/10</t>
  </si>
  <si>
    <t>4420/49</t>
  </si>
  <si>
    <t>4214/7</t>
  </si>
  <si>
    <t>3100/2</t>
  </si>
  <si>
    <t>2888/18</t>
  </si>
  <si>
    <t>3262/1</t>
  </si>
  <si>
    <t>4416/23</t>
  </si>
  <si>
    <t>4416/26</t>
  </si>
  <si>
    <t>2110/38</t>
  </si>
  <si>
    <t>1451/1</t>
  </si>
  <si>
    <t>2580/130</t>
  </si>
  <si>
    <t>4416/13</t>
  </si>
  <si>
    <t>4416/6</t>
  </si>
  <si>
    <t>4416/11</t>
  </si>
  <si>
    <t>4705/3</t>
  </si>
  <si>
    <t>4473/8</t>
  </si>
  <si>
    <t>5019/105</t>
  </si>
  <si>
    <t>516/1</t>
  </si>
  <si>
    <t>1177/103</t>
  </si>
  <si>
    <t>2220/2</t>
  </si>
  <si>
    <t>524/1</t>
  </si>
  <si>
    <t>2339/147</t>
  </si>
  <si>
    <t>2974/17</t>
  </si>
  <si>
    <t>4424/7</t>
  </si>
  <si>
    <t>4474/72</t>
  </si>
  <si>
    <t>5932/3</t>
  </si>
  <si>
    <t>2893/2</t>
  </si>
  <si>
    <t>2888/10</t>
  </si>
  <si>
    <t>4707</t>
  </si>
  <si>
    <t>2332/44</t>
  </si>
  <si>
    <t>5929/5</t>
  </si>
  <si>
    <t>4455/174</t>
  </si>
  <si>
    <t>213/17</t>
  </si>
  <si>
    <t>4416/12</t>
  </si>
  <si>
    <t>4416/10</t>
  </si>
  <si>
    <t>438/2</t>
  </si>
  <si>
    <t>1061/80</t>
  </si>
  <si>
    <t>3425</t>
  </si>
  <si>
    <t>4679/5</t>
  </si>
  <si>
    <t>288/2</t>
  </si>
  <si>
    <t>4105/7</t>
  </si>
  <si>
    <t>1000/1</t>
  </si>
  <si>
    <t>1000/3</t>
  </si>
  <si>
    <t>1453/1</t>
  </si>
  <si>
    <t>526/4</t>
  </si>
  <si>
    <t>241/3</t>
  </si>
  <si>
    <t>2339/140</t>
  </si>
  <si>
    <t>2575/346</t>
  </si>
  <si>
    <t>5019/101</t>
  </si>
  <si>
    <t>4416/21</t>
  </si>
  <si>
    <t>2808</t>
  </si>
  <si>
    <t>4416/8</t>
  </si>
  <si>
    <t>996/3</t>
  </si>
  <si>
    <t>242/3</t>
  </si>
  <si>
    <t>370/292</t>
  </si>
  <si>
    <t>ZMK</t>
  </si>
  <si>
    <t>S4</t>
  </si>
  <si>
    <t>IZ</t>
  </si>
  <si>
    <t>jiná plocha</t>
  </si>
  <si>
    <t>manipulační plocha</t>
  </si>
  <si>
    <t>ostatní komunikace</t>
  </si>
  <si>
    <t>zeleň</t>
  </si>
  <si>
    <t>trvalý travní porost</t>
  </si>
  <si>
    <t>2025-04-23 08:01:10</t>
  </si>
  <si>
    <t>2023-08-17 12:23:31</t>
  </si>
  <si>
    <t>2024-07-08 09:45:00</t>
  </si>
  <si>
    <t>2022-09-16 17:04:13</t>
  </si>
  <si>
    <t>2023-08-11 11:36:08</t>
  </si>
  <si>
    <t>2023-08-31 11:09:22</t>
  </si>
  <si>
    <t>2024-08-29 09:45:00</t>
  </si>
  <si>
    <t>2024-08-21 14:34:51</t>
  </si>
  <si>
    <t>2024-11-13 07:47:13</t>
  </si>
  <si>
    <t>2024-01-08 08:37:18</t>
  </si>
  <si>
    <t>2025-01-07 13:50:19</t>
  </si>
  <si>
    <t>2024-07-31 13:03:10</t>
  </si>
  <si>
    <t>2023-10-31 12:31:02</t>
  </si>
  <si>
    <t>2023-11-24 10:03:56</t>
  </si>
  <si>
    <t>2025-07-29 12:00:32</t>
  </si>
  <si>
    <t>2023-11-28 13:08:52</t>
  </si>
  <si>
    <t>2020-03-31 10:11:58</t>
  </si>
  <si>
    <t>2025-05-30 09:45:00</t>
  </si>
  <si>
    <t>2025-12-22 13:37:35</t>
  </si>
  <si>
    <t>2025-02-26 14:49:51</t>
  </si>
  <si>
    <t>2025-04-03 10:55:06</t>
  </si>
  <si>
    <t>2024-08-01 08:37:18</t>
  </si>
  <si>
    <t>2025-08-04 16:31:53</t>
  </si>
  <si>
    <t>2025-02-21 23:00:00</t>
  </si>
  <si>
    <t>2024-01-31 16:13:17</t>
  </si>
  <si>
    <t>2024-08-07 09:45:00</t>
  </si>
  <si>
    <t>2025-04-10 09:06:09</t>
  </si>
  <si>
    <t>2024-12-13 10:58:28</t>
  </si>
  <si>
    <t>2024-08-14 07:59:38</t>
  </si>
  <si>
    <t>2024-01-29 16:49:12</t>
  </si>
  <si>
    <t>2023-04-04 08:26:22</t>
  </si>
  <si>
    <t>2024-05-20 06:15:10</t>
  </si>
  <si>
    <t>2026-01-26 07:56:22</t>
  </si>
  <si>
    <t>2024-10-22 08:48:03</t>
  </si>
  <si>
    <t>2023-09-08 11:35:19</t>
  </si>
  <si>
    <t>2024-07-16 15:31:16</t>
  </si>
  <si>
    <t>2025-04-11 08:39:22</t>
  </si>
  <si>
    <t>2024-12-10 12:56:12</t>
  </si>
  <si>
    <t>2025-01-14 13:13:52</t>
  </si>
  <si>
    <t>2025-03-11 13:18:55</t>
  </si>
  <si>
    <t>2025-02-10 09:57:35</t>
  </si>
  <si>
    <t>2025-04-11 08:30:40</t>
  </si>
  <si>
    <t>2025-11-21 16:07:01</t>
  </si>
  <si>
    <t>2021-11-05 08:10:30</t>
  </si>
  <si>
    <t>2022-06-07 09:52:01</t>
  </si>
  <si>
    <t>2024-03-21 13:20:55</t>
  </si>
  <si>
    <t>2023-03-10 09:10:11</t>
  </si>
  <si>
    <t>2024-01-05 11:47:20</t>
  </si>
  <si>
    <t>2024-01-09 13:30:55</t>
  </si>
  <si>
    <t>2025-05-29 08:50:05</t>
  </si>
  <si>
    <t>2024-01-09 09:22:39</t>
  </si>
  <si>
    <t>2024-05-03 09:45:00</t>
  </si>
  <si>
    <t>2024-02-07 15:36:28</t>
  </si>
  <si>
    <t>2024-09-13 08:17:29</t>
  </si>
  <si>
    <t>2025-06-18 13:46:40</t>
  </si>
  <si>
    <t>2025-02-07 11:18:14</t>
  </si>
  <si>
    <t>V-25140/2025-101</t>
  </si>
  <si>
    <t>V-43570/2023-101</t>
  </si>
  <si>
    <t>V-39541/2024-101</t>
  </si>
  <si>
    <t>V-54967/2022-101</t>
  </si>
  <si>
    <t>V-42596/2023-101</t>
  </si>
  <si>
    <t>V-46036/2023-101</t>
  </si>
  <si>
    <t>V-50101/2024-101</t>
  </si>
  <si>
    <t>V-48501/2024-101</t>
  </si>
  <si>
    <t>V-67147/2024-101</t>
  </si>
  <si>
    <t>V-44404/2024-101</t>
  </si>
  <si>
    <t>V-963/2025-101</t>
  </si>
  <si>
    <t>V-44300/2024-101</t>
  </si>
  <si>
    <t>V-57637/2023-101</t>
  </si>
  <si>
    <t>V-63229/2023-101</t>
  </si>
  <si>
    <t>V-63228/2023-101</t>
  </si>
  <si>
    <t>V-48243/2025-101</t>
  </si>
  <si>
    <t>V-63936/2023-101</t>
  </si>
  <si>
    <t>V-18592/2020-101</t>
  </si>
  <si>
    <t>V-34097/2025-101</t>
  </si>
  <si>
    <t>V-83108/2025-101</t>
  </si>
  <si>
    <t>V-12350/2025-101</t>
  </si>
  <si>
    <t>V-20993/2025-101</t>
  </si>
  <si>
    <t>V-63235/2023-101</t>
  </si>
  <si>
    <t>V-63244/2023-101</t>
  </si>
  <si>
    <t>V-49813/2025-101</t>
  </si>
  <si>
    <t>V-11330/2025-101</t>
  </si>
  <si>
    <t>V-63242/2023-101</t>
  </si>
  <si>
    <t>V-5976/2024-101</t>
  </si>
  <si>
    <t>V-39535/2024-101</t>
  </si>
  <si>
    <t>V-22547/2025-101</t>
  </si>
  <si>
    <t>V-75249/2024-101</t>
  </si>
  <si>
    <t>V-46828/2024-101</t>
  </si>
  <si>
    <t>V-5408/2024-101</t>
  </si>
  <si>
    <t>V-17866/2023-101</t>
  </si>
  <si>
    <t>V-28506/2024-101</t>
  </si>
  <si>
    <t>V-4934/2026-101</t>
  </si>
  <si>
    <t>V-61505/2024-101</t>
  </si>
  <si>
    <t>V-63223/2023-101</t>
  </si>
  <si>
    <t>V-47590/2023-101</t>
  </si>
  <si>
    <t>V-41366/2024-101</t>
  </si>
  <si>
    <t>V-63225/2023-101</t>
  </si>
  <si>
    <t>V-63221/2023-101</t>
  </si>
  <si>
    <t>V-63232/2023-101</t>
  </si>
  <si>
    <t>V-22899/2025-101</t>
  </si>
  <si>
    <t>V-74094/2024-101</t>
  </si>
  <si>
    <t>V-2465/2025-101</t>
  </si>
  <si>
    <t>V-15058/2025-101</t>
  </si>
  <si>
    <t>V-8162/2025-101</t>
  </si>
  <si>
    <t>V-22888/2025-101</t>
  </si>
  <si>
    <t>V-75146/2025-101</t>
  </si>
  <si>
    <t>V-63248/2023-101</t>
  </si>
  <si>
    <t>V-83441/2021-101</t>
  </si>
  <si>
    <t>V-35355/2022-101</t>
  </si>
  <si>
    <t>V-16582/2024-101</t>
  </si>
  <si>
    <t>V-13159/2023-101</t>
  </si>
  <si>
    <t>V-772/2024-101</t>
  </si>
  <si>
    <t>V-1399/2024-101</t>
  </si>
  <si>
    <t>V-33906/2025-101</t>
  </si>
  <si>
    <t>V-1214/2024-101</t>
  </si>
  <si>
    <t>V-25670/2024-101</t>
  </si>
  <si>
    <t>V-7551/2024-101</t>
  </si>
  <si>
    <t>V-53159/2024-101</t>
  </si>
  <si>
    <t>V-63237/2023-101</t>
  </si>
  <si>
    <t>V-38700/2025-101</t>
  </si>
  <si>
    <t>V-63240/2023-101</t>
  </si>
  <si>
    <t>V-8027/2025-101</t>
  </si>
  <si>
    <t>python_tuple_format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</si>
</sst>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Pozemky" displayName="DataPozemky" ref="A1:O113" totalsRowShown="0">
  <autoFilter ref="A1:O113" xr:uid="{00000000-0009-0000-0100-000001000000}"/>
  <tableColumns count="15">
    <tableColumn id="1" xr3:uid="{00000000-0010-0000-0000-000001000000}" name="python_tuple_format">
      <calculatedColumnFormula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calculatedColumnFormula>
    </tableColumn>
    <tableColumn id="2" xr3:uid="{00000000-0010-0000-0000-000002000000}" name="okres"/>
    <tableColumn id="3" xr3:uid="{00000000-0010-0000-0000-000003000000}" name="kat_uzemi"/>
    <tableColumn id="4" xr3:uid="{00000000-0010-0000-0000-000004000000}" name="parcelni_cislo"/>
    <tableColumn id="5" xr3:uid="{00000000-0010-0000-0000-000005000000}" name="vymera"/>
    <tableColumn id="6" xr3:uid="{00000000-0010-0000-0000-000006000000}" name="uzemni_plan"/>
    <tableColumn id="7" xr3:uid="{00000000-0010-0000-0000-000007000000}" name="druh_pozemku"/>
    <tableColumn id="8" xr3:uid="{00000000-0010-0000-0000-000008000000}" name="LV" dataDxfId="1">
      <calculatedColumnFormula>DataPozemky[[#This Row],[cislo_vkladu]]</calculatedColumnFormula>
    </tableColumn>
    <tableColumn id="9" xr3:uid="{00000000-0010-0000-0000-000009000000}" name="info_text" dataDxfId="0">
      <calculatedColumnFormula>_xlfn.CONCAT("JC=",ROUND(DataPozemky[[#This Row],[jednotkova_cena]],0))</calculatedColumnFormula>
    </tableColumn>
    <tableColumn id="10" xr3:uid="{00000000-0010-0000-0000-00000A000000}" name="datum_podani"/>
    <tableColumn id="11" xr3:uid="{00000000-0010-0000-0000-00000B000000}" name="cislo_vkladu"/>
    <tableColumn id="12" xr3:uid="{00000000-0010-0000-0000-00000C000000}" name="cenovy_udaj"/>
    <tableColumn id="13" xr3:uid="{00000000-0010-0000-0000-00000D000000}" name="celkova_vymera_vkladu"/>
    <tableColumn id="14" xr3:uid="{00000000-0010-0000-0000-00000E000000}" name="pocet_parcel_ve_vkladu"/>
    <tableColumn id="15" xr3:uid="{00000000-0010-0000-0000-00000F000000}" name="jednotkova_cen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"/>
  <sheetViews>
    <sheetView tabSelected="1" topLeftCell="A39" workbookViewId="0">
      <selection activeCell="A2" sqref="A2:A113"/>
    </sheetView>
  </sheetViews>
  <sheetFormatPr defaultRowHeight="15" x14ac:dyDescent="0.25"/>
  <cols>
    <col min="1" max="1" width="76.42578125" customWidth="1"/>
    <col min="2" max="6" width="15.7109375" customWidth="1"/>
    <col min="7" max="7" width="19.5703125" customWidth="1"/>
    <col min="8" max="9" width="20.7109375" customWidth="1"/>
    <col min="10" max="14" width="15.7109375" customWidth="1"/>
  </cols>
  <sheetData>
    <row r="1" spans="1:15" x14ac:dyDescent="0.25">
      <c r="A1" t="s">
        <v>262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"Šeberov", "1480/3", "V-25140/2025-101", "JC=2107"),</v>
      </c>
      <c r="B2" t="s">
        <v>14</v>
      </c>
      <c r="C2" t="s">
        <v>15</v>
      </c>
      <c r="D2" t="s">
        <v>37</v>
      </c>
      <c r="E2">
        <v>23</v>
      </c>
      <c r="F2" t="s">
        <v>132</v>
      </c>
      <c r="G2" t="s">
        <v>135</v>
      </c>
      <c r="H2" t="str">
        <f>DataPozemky[[#This Row],[cislo_vkladu]]</f>
        <v>V-25140/2025-101</v>
      </c>
      <c r="I2" t="str">
        <f>_xlfn.CONCAT("JC=",ROUND(DataPozemky[[#This Row],[jednotkova_cena]],0))</f>
        <v>JC=2107</v>
      </c>
      <c r="J2" t="s">
        <v>140</v>
      </c>
      <c r="K2" t="s">
        <v>196</v>
      </c>
      <c r="L2">
        <v>100000000</v>
      </c>
      <c r="M2">
        <v>47452</v>
      </c>
      <c r="N2">
        <v>26</v>
      </c>
      <c r="O2">
        <v>2107.3927337098539</v>
      </c>
    </row>
    <row r="3" spans="1:15" x14ac:dyDescent="0.25">
      <c r="A3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"Letňany", "524/2", "V-43570/2023-101", "JC=1745"),</v>
      </c>
      <c r="B3" t="s">
        <v>14</v>
      </c>
      <c r="C3" t="s">
        <v>16</v>
      </c>
      <c r="D3" t="s">
        <v>38</v>
      </c>
      <c r="E3">
        <v>156</v>
      </c>
      <c r="F3" t="s">
        <v>132</v>
      </c>
      <c r="G3" t="s">
        <v>136</v>
      </c>
      <c r="H3" t="str">
        <f>DataPozemky[[#This Row],[cislo_vkladu]]</f>
        <v>V-43570/2023-101</v>
      </c>
      <c r="I3" t="str">
        <f>_xlfn.CONCAT("JC=",ROUND(DataPozemky[[#This Row],[jednotkova_cena]],0))</f>
        <v>JC=1745</v>
      </c>
      <c r="J3" t="s">
        <v>141</v>
      </c>
      <c r="K3" t="s">
        <v>197</v>
      </c>
      <c r="L3">
        <v>2500000</v>
      </c>
      <c r="M3">
        <v>1433</v>
      </c>
      <c r="N3">
        <v>6</v>
      </c>
      <c r="O3">
        <v>1744.591765526867</v>
      </c>
    </row>
    <row r="4" spans="1:15" x14ac:dyDescent="0.25">
      <c r="A4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"2888/9", "V-39541/2024-101", "JC=1719"),</v>
      </c>
      <c r="B4" t="s">
        <v>14</v>
      </c>
      <c r="C4" t="s">
        <v>17</v>
      </c>
      <c r="D4" t="s">
        <v>39</v>
      </c>
      <c r="E4">
        <v>13</v>
      </c>
      <c r="F4" t="s">
        <v>133</v>
      </c>
      <c r="G4" t="s">
        <v>135</v>
      </c>
      <c r="H4" t="str">
        <f>DataPozemky[[#This Row],[cislo_vkladu]]</f>
        <v>V-39541/2024-101</v>
      </c>
      <c r="I4" t="str">
        <f>_xlfn.CONCAT("JC=",ROUND(DataPozemky[[#This Row],[jednotkova_cena]],0))</f>
        <v>JC=1719</v>
      </c>
      <c r="J4" t="s">
        <v>142</v>
      </c>
      <c r="K4" t="s">
        <v>198</v>
      </c>
      <c r="L4">
        <v>30504120</v>
      </c>
      <c r="M4">
        <v>17746</v>
      </c>
      <c r="N4">
        <v>24</v>
      </c>
      <c r="O4">
        <v>1718.929336188437</v>
      </c>
    </row>
    <row r="5" spans="1:15" x14ac:dyDescent="0.25">
      <c r="A5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"2888/11", "V-39541/2024-101", "JC=1719"),</v>
      </c>
      <c r="B5" t="s">
        <v>14</v>
      </c>
      <c r="C5" t="s">
        <v>17</v>
      </c>
      <c r="D5" t="s">
        <v>40</v>
      </c>
      <c r="E5">
        <v>106</v>
      </c>
      <c r="F5" t="s">
        <v>134</v>
      </c>
      <c r="G5" t="s">
        <v>135</v>
      </c>
      <c r="H5" t="str">
        <f>DataPozemky[[#This Row],[cislo_vkladu]]</f>
        <v>V-39541/2024-101</v>
      </c>
      <c r="I5" t="str">
        <f>_xlfn.CONCAT("JC=",ROUND(DataPozemky[[#This Row],[jednotkova_cena]],0))</f>
        <v>JC=1719</v>
      </c>
      <c r="J5" t="s">
        <v>142</v>
      </c>
      <c r="K5" t="s">
        <v>198</v>
      </c>
      <c r="L5">
        <v>30504120</v>
      </c>
      <c r="M5">
        <v>17746</v>
      </c>
      <c r="N5">
        <v>24</v>
      </c>
      <c r="O5">
        <v>1718.929336188437</v>
      </c>
    </row>
    <row r="6" spans="1:15" x14ac:dyDescent="0.25">
      <c r="A6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"Smíchov", "4706/1", "V-54967/2022-101", "JC=1277"),</v>
      </c>
      <c r="B6" t="s">
        <v>14</v>
      </c>
      <c r="C6" t="s">
        <v>18</v>
      </c>
      <c r="D6" t="s">
        <v>41</v>
      </c>
      <c r="E6">
        <v>282</v>
      </c>
      <c r="F6" t="s">
        <v>132</v>
      </c>
      <c r="G6" t="s">
        <v>135</v>
      </c>
      <c r="H6" t="str">
        <f>DataPozemky[[#This Row],[cislo_vkladu]]</f>
        <v>V-54967/2022-101</v>
      </c>
      <c r="I6" t="str">
        <f>_xlfn.CONCAT("JC=",ROUND(DataPozemky[[#This Row],[jednotkova_cena]],0))</f>
        <v>JC=1277</v>
      </c>
      <c r="J6" t="s">
        <v>143</v>
      </c>
      <c r="K6" t="s">
        <v>199</v>
      </c>
      <c r="L6">
        <v>2314373</v>
      </c>
      <c r="M6">
        <v>1812</v>
      </c>
      <c r="N6">
        <v>6</v>
      </c>
      <c r="O6">
        <v>1277.247792494481</v>
      </c>
    </row>
    <row r="7" spans="1:15" x14ac:dyDescent="0.25">
      <c r="A7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"Řepy", "1497/3", "V-42596/2023-101", "JC=3145"),</v>
      </c>
      <c r="B7" t="s">
        <v>14</v>
      </c>
      <c r="C7" t="s">
        <v>19</v>
      </c>
      <c r="D7" t="s">
        <v>42</v>
      </c>
      <c r="E7">
        <v>400</v>
      </c>
      <c r="F7" t="s">
        <v>134</v>
      </c>
      <c r="G7" t="s">
        <v>135</v>
      </c>
      <c r="H7" t="str">
        <f>DataPozemky[[#This Row],[cislo_vkladu]]</f>
        <v>V-42596/2023-101</v>
      </c>
      <c r="I7" t="str">
        <f>_xlfn.CONCAT("JC=",ROUND(DataPozemky[[#This Row],[jednotkova_cena]],0))</f>
        <v>JC=3145</v>
      </c>
      <c r="J7" t="s">
        <v>144</v>
      </c>
      <c r="K7" t="s">
        <v>200</v>
      </c>
      <c r="L7">
        <v>6418942</v>
      </c>
      <c r="M7">
        <v>2041</v>
      </c>
      <c r="N7">
        <v>6</v>
      </c>
      <c r="O7">
        <v>3144.9985301322881</v>
      </c>
    </row>
    <row r="8" spans="1:15" x14ac:dyDescent="0.25">
      <c r="A8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"Veleslavín", "299/175", "V-46036/2023-101", "JC=3125"),</v>
      </c>
      <c r="B8" t="s">
        <v>14</v>
      </c>
      <c r="C8" t="s">
        <v>20</v>
      </c>
      <c r="D8" t="s">
        <v>43</v>
      </c>
      <c r="E8">
        <v>16</v>
      </c>
      <c r="F8" t="s">
        <v>132</v>
      </c>
      <c r="G8" t="s">
        <v>135</v>
      </c>
      <c r="H8" t="str">
        <f>DataPozemky[[#This Row],[cislo_vkladu]]</f>
        <v>V-46036/2023-101</v>
      </c>
      <c r="I8" t="str">
        <f>_xlfn.CONCAT("JC=",ROUND(DataPozemky[[#This Row],[jednotkova_cena]],0))</f>
        <v>JC=3125</v>
      </c>
      <c r="J8" t="s">
        <v>145</v>
      </c>
      <c r="K8" t="s">
        <v>201</v>
      </c>
      <c r="L8">
        <v>1050000</v>
      </c>
      <c r="M8">
        <v>336</v>
      </c>
      <c r="N8">
        <v>3</v>
      </c>
      <c r="O8">
        <v>3125</v>
      </c>
    </row>
    <row r="9" spans="1:15" x14ac:dyDescent="0.25">
      <c r="A9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"2974/21", "V-50101/2024-101", "JC=931"),</v>
      </c>
      <c r="B9" t="s">
        <v>14</v>
      </c>
      <c r="C9" t="s">
        <v>17</v>
      </c>
      <c r="D9" t="s">
        <v>44</v>
      </c>
      <c r="E9">
        <v>207</v>
      </c>
      <c r="F9" t="s">
        <v>133</v>
      </c>
      <c r="G9" t="s">
        <v>137</v>
      </c>
      <c r="H9" t="str">
        <f>DataPozemky[[#This Row],[cislo_vkladu]]</f>
        <v>V-50101/2024-101</v>
      </c>
      <c r="I9" t="str">
        <f>_xlfn.CONCAT("JC=",ROUND(DataPozemky[[#This Row],[jednotkova_cena]],0))</f>
        <v>JC=931</v>
      </c>
      <c r="J9" t="s">
        <v>146</v>
      </c>
      <c r="K9" t="s">
        <v>202</v>
      </c>
      <c r="L9">
        <v>8644544</v>
      </c>
      <c r="M9">
        <v>9283</v>
      </c>
      <c r="N9">
        <v>24</v>
      </c>
      <c r="O9">
        <v>931.22309598190236</v>
      </c>
    </row>
    <row r="10" spans="1:15" x14ac:dyDescent="0.25">
      <c r="A10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"Žižkov", "3065/17", "V-48501/2024-101", "JC=1587"),</v>
      </c>
      <c r="B10" t="s">
        <v>14</v>
      </c>
      <c r="C10" t="s">
        <v>21</v>
      </c>
      <c r="D10" t="s">
        <v>45</v>
      </c>
      <c r="E10">
        <v>24</v>
      </c>
      <c r="F10" t="s">
        <v>132</v>
      </c>
      <c r="G10" t="s">
        <v>135</v>
      </c>
      <c r="H10" t="str">
        <f>DataPozemky[[#This Row],[cislo_vkladu]]</f>
        <v>V-48501/2024-101</v>
      </c>
      <c r="I10" t="str">
        <f>_xlfn.CONCAT("JC=",ROUND(DataPozemky[[#This Row],[jednotkova_cena]],0))</f>
        <v>JC=1587</v>
      </c>
      <c r="J10" t="s">
        <v>147</v>
      </c>
      <c r="K10" t="s">
        <v>203</v>
      </c>
      <c r="L10">
        <v>1813560</v>
      </c>
      <c r="M10">
        <v>1143</v>
      </c>
      <c r="N10">
        <v>2</v>
      </c>
      <c r="O10">
        <v>1586.666666666667</v>
      </c>
    </row>
    <row r="11" spans="1:15" x14ac:dyDescent="0.25">
      <c r="A11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"Veleslavín", "299/168", "V-67147/2024-101", "JC=955"),</v>
      </c>
      <c r="B11" t="s">
        <v>14</v>
      </c>
      <c r="C11" t="s">
        <v>20</v>
      </c>
      <c r="D11" t="s">
        <v>46</v>
      </c>
      <c r="E11">
        <v>17</v>
      </c>
      <c r="F11" t="s">
        <v>132</v>
      </c>
      <c r="G11" t="s">
        <v>135</v>
      </c>
      <c r="H11" t="str">
        <f>DataPozemky[[#This Row],[cislo_vkladu]]</f>
        <v>V-67147/2024-101</v>
      </c>
      <c r="I11" t="str">
        <f>_xlfn.CONCAT("JC=",ROUND(DataPozemky[[#This Row],[jednotkova_cena]],0))</f>
        <v>JC=955</v>
      </c>
      <c r="J11" t="s">
        <v>148</v>
      </c>
      <c r="K11" t="s">
        <v>204</v>
      </c>
      <c r="L11">
        <v>550000</v>
      </c>
      <c r="M11">
        <v>576</v>
      </c>
      <c r="N11">
        <v>4</v>
      </c>
      <c r="O11">
        <v>954.86111111111109</v>
      </c>
    </row>
    <row r="12" spans="1:15" x14ac:dyDescent="0.25">
      <c r="A12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"607/3", "V-44404/2024-101", "JC=3900"),</v>
      </c>
      <c r="B12" t="s">
        <v>14</v>
      </c>
      <c r="C12" t="s">
        <v>17</v>
      </c>
      <c r="D12" t="s">
        <v>47</v>
      </c>
      <c r="E12">
        <v>192</v>
      </c>
      <c r="F12" t="s">
        <v>132</v>
      </c>
      <c r="G12" t="s">
        <v>137</v>
      </c>
      <c r="H12" t="str">
        <f>DataPozemky[[#This Row],[cislo_vkladu]]</f>
        <v>V-44404/2024-101</v>
      </c>
      <c r="I12" t="str">
        <f>_xlfn.CONCAT("JC=",ROUND(DataPozemky[[#This Row],[jednotkova_cena]],0))</f>
        <v>JC=3900</v>
      </c>
      <c r="J12" t="s">
        <v>149</v>
      </c>
      <c r="K12" t="s">
        <v>205</v>
      </c>
      <c r="L12">
        <v>8050000</v>
      </c>
      <c r="M12">
        <v>2064</v>
      </c>
      <c r="N12">
        <v>4</v>
      </c>
      <c r="O12">
        <v>3900.193798449613</v>
      </c>
    </row>
    <row r="13" spans="1:15" x14ac:dyDescent="0.25">
      <c r="A13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"Stodůlky", "2173/35", "V-963/2025-101", "JC=3695"),</v>
      </c>
      <c r="B13" t="s">
        <v>14</v>
      </c>
      <c r="C13" t="s">
        <v>22</v>
      </c>
      <c r="D13" t="s">
        <v>48</v>
      </c>
      <c r="E13">
        <v>58</v>
      </c>
      <c r="F13" t="s">
        <v>132</v>
      </c>
      <c r="G13" t="s">
        <v>138</v>
      </c>
      <c r="H13" t="str">
        <f>DataPozemky[[#This Row],[cislo_vkladu]]</f>
        <v>V-963/2025-101</v>
      </c>
      <c r="I13" t="str">
        <f>_xlfn.CONCAT("JC=",ROUND(DataPozemky[[#This Row],[jednotkova_cena]],0))</f>
        <v>JC=3695</v>
      </c>
      <c r="J13" t="s">
        <v>150</v>
      </c>
      <c r="K13" t="s">
        <v>206</v>
      </c>
      <c r="L13">
        <v>898000</v>
      </c>
      <c r="M13">
        <v>243</v>
      </c>
      <c r="N13">
        <v>2</v>
      </c>
      <c r="O13">
        <v>3695.4732510288072</v>
      </c>
    </row>
    <row r="14" spans="1:15" x14ac:dyDescent="0.25">
      <c r="A14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"Záběhlice", "5928/7", "V-44300/2024-101", "JC=667"),</v>
      </c>
      <c r="B14" t="s">
        <v>14</v>
      </c>
      <c r="C14" t="s">
        <v>23</v>
      </c>
      <c r="D14" t="s">
        <v>49</v>
      </c>
      <c r="E14">
        <v>23</v>
      </c>
      <c r="F14" t="s">
        <v>133</v>
      </c>
      <c r="G14" t="s">
        <v>135</v>
      </c>
      <c r="H14" t="str">
        <f>DataPozemky[[#This Row],[cislo_vkladu]]</f>
        <v>V-44300/2024-101</v>
      </c>
      <c r="I14" t="str">
        <f>_xlfn.CONCAT("JC=",ROUND(DataPozemky[[#This Row],[jednotkova_cena]],0))</f>
        <v>JC=667</v>
      </c>
      <c r="J14" t="s">
        <v>151</v>
      </c>
      <c r="K14" t="s">
        <v>207</v>
      </c>
      <c r="L14">
        <v>8573690</v>
      </c>
      <c r="M14">
        <v>12863</v>
      </c>
      <c r="N14">
        <v>40</v>
      </c>
      <c r="O14">
        <v>666.53891005208743</v>
      </c>
    </row>
    <row r="15" spans="1:15" x14ac:dyDescent="0.25">
      <c r="A15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"Stodůlky", "1177/112", "V-57637/2023-101", "JC=6100"),</v>
      </c>
      <c r="B15" t="s">
        <v>14</v>
      </c>
      <c r="C15" t="s">
        <v>22</v>
      </c>
      <c r="D15" t="s">
        <v>50</v>
      </c>
      <c r="E15">
        <v>406</v>
      </c>
      <c r="F15" t="s">
        <v>132</v>
      </c>
      <c r="G15" t="s">
        <v>135</v>
      </c>
      <c r="H15" t="str">
        <f>DataPozemky[[#This Row],[cislo_vkladu]]</f>
        <v>V-57637/2023-101</v>
      </c>
      <c r="I15" t="str">
        <f>_xlfn.CONCAT("JC=",ROUND(DataPozemky[[#This Row],[jednotkova_cena]],0))</f>
        <v>JC=6100</v>
      </c>
      <c r="J15" t="s">
        <v>152</v>
      </c>
      <c r="K15" t="s">
        <v>208</v>
      </c>
      <c r="L15">
        <v>9290300</v>
      </c>
      <c r="M15">
        <v>1523</v>
      </c>
      <c r="N15">
        <v>5</v>
      </c>
      <c r="O15">
        <v>6100</v>
      </c>
    </row>
    <row r="16" spans="1:15" x14ac:dyDescent="0.25">
      <c r="A16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"Stodůlky", "2173/34", "V-963/2025-101", "JC=3695"),</v>
      </c>
      <c r="B16" t="s">
        <v>14</v>
      </c>
      <c r="C16" t="s">
        <v>22</v>
      </c>
      <c r="D16" t="s">
        <v>51</v>
      </c>
      <c r="E16">
        <v>185</v>
      </c>
      <c r="F16" t="s">
        <v>132</v>
      </c>
      <c r="G16" t="s">
        <v>137</v>
      </c>
      <c r="H16" t="str">
        <f>DataPozemky[[#This Row],[cislo_vkladu]]</f>
        <v>V-963/2025-101</v>
      </c>
      <c r="I16" t="str">
        <f>_xlfn.CONCAT("JC=",ROUND(DataPozemky[[#This Row],[jednotkova_cena]],0))</f>
        <v>JC=3695</v>
      </c>
      <c r="J16" t="s">
        <v>150</v>
      </c>
      <c r="K16" t="s">
        <v>206</v>
      </c>
      <c r="L16">
        <v>898000</v>
      </c>
      <c r="M16">
        <v>243</v>
      </c>
      <c r="N16">
        <v>2</v>
      </c>
      <c r="O16">
        <v>3695.4732510288072</v>
      </c>
    </row>
    <row r="17" spans="1:15" x14ac:dyDescent="0.25">
      <c r="A17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"4416/7", "V-63229/2023-101", "JC=1200"),</v>
      </c>
      <c r="B17" t="s">
        <v>14</v>
      </c>
      <c r="C17" t="s">
        <v>24</v>
      </c>
      <c r="D17" t="s">
        <v>52</v>
      </c>
      <c r="E17">
        <v>406</v>
      </c>
      <c r="F17" t="s">
        <v>132</v>
      </c>
      <c r="G17" t="s">
        <v>139</v>
      </c>
      <c r="H17" t="str">
        <f>DataPozemky[[#This Row],[cislo_vkladu]]</f>
        <v>V-63229/2023-101</v>
      </c>
      <c r="I17" t="str">
        <f>_xlfn.CONCAT("JC=",ROUND(DataPozemky[[#This Row],[jednotkova_cena]],0))</f>
        <v>JC=1200</v>
      </c>
      <c r="J17" t="s">
        <v>153</v>
      </c>
      <c r="K17" t="s">
        <v>209</v>
      </c>
      <c r="L17">
        <v>487200</v>
      </c>
      <c r="M17">
        <v>406</v>
      </c>
      <c r="N17">
        <v>1</v>
      </c>
      <c r="O17">
        <v>1200</v>
      </c>
    </row>
    <row r="18" spans="1:15" x14ac:dyDescent="0.25">
      <c r="A18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"4416/9", "V-63228/2023-101", "JC=1200"),</v>
      </c>
      <c r="B18" t="s">
        <v>14</v>
      </c>
      <c r="C18" t="s">
        <v>24</v>
      </c>
      <c r="D18" t="s">
        <v>53</v>
      </c>
      <c r="E18">
        <v>364</v>
      </c>
      <c r="F18" t="s">
        <v>132</v>
      </c>
      <c r="G18" t="s">
        <v>139</v>
      </c>
      <c r="H18" t="str">
        <f>DataPozemky[[#This Row],[cislo_vkladu]]</f>
        <v>V-63228/2023-101</v>
      </c>
      <c r="I18" t="str">
        <f>_xlfn.CONCAT("JC=",ROUND(DataPozemky[[#This Row],[jednotkova_cena]],0))</f>
        <v>JC=1200</v>
      </c>
      <c r="J18" t="s">
        <v>153</v>
      </c>
      <c r="K18" t="s">
        <v>210</v>
      </c>
      <c r="L18">
        <v>436800</v>
      </c>
      <c r="M18">
        <v>364</v>
      </c>
      <c r="N18">
        <v>1</v>
      </c>
      <c r="O18">
        <v>1200</v>
      </c>
    </row>
    <row r="19" spans="1:15" x14ac:dyDescent="0.25">
      <c r="A19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"Strašnice", "1547/7", "V-48243/2025-101", "JC=5698"),</v>
      </c>
      <c r="B19" t="s">
        <v>14</v>
      </c>
      <c r="C19" t="s">
        <v>25</v>
      </c>
      <c r="D19" t="s">
        <v>54</v>
      </c>
      <c r="E19">
        <v>162</v>
      </c>
      <c r="F19" t="s">
        <v>132</v>
      </c>
      <c r="G19" t="s">
        <v>137</v>
      </c>
      <c r="H19" t="str">
        <f>DataPozemky[[#This Row],[cislo_vkladu]]</f>
        <v>V-48243/2025-101</v>
      </c>
      <c r="I19" t="str">
        <f>_xlfn.CONCAT("JC=",ROUND(DataPozemky[[#This Row],[jednotkova_cena]],0))</f>
        <v>JC=5698</v>
      </c>
      <c r="J19" t="s">
        <v>154</v>
      </c>
      <c r="K19" t="s">
        <v>211</v>
      </c>
      <c r="L19">
        <v>923000</v>
      </c>
      <c r="M19">
        <v>162</v>
      </c>
      <c r="N19">
        <v>1</v>
      </c>
      <c r="O19">
        <v>5697.5308641975307</v>
      </c>
    </row>
    <row r="20" spans="1:15" x14ac:dyDescent="0.25">
      <c r="A20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"4416/25", "V-63936/2023-101", "JC=1200"),</v>
      </c>
      <c r="B20" t="s">
        <v>14</v>
      </c>
      <c r="C20" t="s">
        <v>24</v>
      </c>
      <c r="D20" t="s">
        <v>55</v>
      </c>
      <c r="E20">
        <v>298</v>
      </c>
      <c r="F20" t="s">
        <v>132</v>
      </c>
      <c r="G20" t="s">
        <v>139</v>
      </c>
      <c r="H20" t="str">
        <f>DataPozemky[[#This Row],[cislo_vkladu]]</f>
        <v>V-63936/2023-101</v>
      </c>
      <c r="I20" t="str">
        <f>_xlfn.CONCAT("JC=",ROUND(DataPozemky[[#This Row],[jednotkova_cena]],0))</f>
        <v>JC=1200</v>
      </c>
      <c r="J20" t="s">
        <v>155</v>
      </c>
      <c r="K20" t="s">
        <v>212</v>
      </c>
      <c r="L20">
        <v>390000</v>
      </c>
      <c r="M20">
        <v>325</v>
      </c>
      <c r="N20">
        <v>2</v>
      </c>
      <c r="O20">
        <v>1200</v>
      </c>
    </row>
    <row r="21" spans="1:15" x14ac:dyDescent="0.25">
      <c r="A21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"Kunratice", "2339/137", "V-18592/2020-101", "JC=770"),</v>
      </c>
      <c r="B21" t="s">
        <v>14</v>
      </c>
      <c r="C21" t="s">
        <v>26</v>
      </c>
      <c r="D21" t="s">
        <v>56</v>
      </c>
      <c r="E21">
        <v>109</v>
      </c>
      <c r="F21" t="s">
        <v>132</v>
      </c>
      <c r="G21" t="s">
        <v>135</v>
      </c>
      <c r="H21" t="str">
        <f>DataPozemky[[#This Row],[cislo_vkladu]]</f>
        <v>V-18592/2020-101</v>
      </c>
      <c r="I21" t="str">
        <f>_xlfn.CONCAT("JC=",ROUND(DataPozemky[[#This Row],[jednotkova_cena]],0))</f>
        <v>JC=770</v>
      </c>
      <c r="J21" t="s">
        <v>156</v>
      </c>
      <c r="K21" t="s">
        <v>213</v>
      </c>
      <c r="L21">
        <v>6250000</v>
      </c>
      <c r="M21">
        <v>8112</v>
      </c>
      <c r="N21">
        <v>10</v>
      </c>
      <c r="O21">
        <v>770.46351084812625</v>
      </c>
    </row>
    <row r="22" spans="1:15" x14ac:dyDescent="0.25">
      <c r="A22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"Záběhlice", "5849/3", "V-44300/2024-101", "JC=667"),</v>
      </c>
      <c r="B22" t="s">
        <v>14</v>
      </c>
      <c r="C22" t="s">
        <v>23</v>
      </c>
      <c r="D22" t="s">
        <v>57</v>
      </c>
      <c r="E22">
        <v>85</v>
      </c>
      <c r="F22" t="s">
        <v>133</v>
      </c>
      <c r="G22" t="s">
        <v>135</v>
      </c>
      <c r="H22" t="str">
        <f>DataPozemky[[#This Row],[cislo_vkladu]]</f>
        <v>V-44300/2024-101</v>
      </c>
      <c r="I22" t="str">
        <f>_xlfn.CONCAT("JC=",ROUND(DataPozemky[[#This Row],[jednotkova_cena]],0))</f>
        <v>JC=667</v>
      </c>
      <c r="J22" t="s">
        <v>151</v>
      </c>
      <c r="K22" t="s">
        <v>207</v>
      </c>
      <c r="L22">
        <v>8573690</v>
      </c>
      <c r="M22">
        <v>12863</v>
      </c>
      <c r="N22">
        <v>40</v>
      </c>
      <c r="O22">
        <v>666.53891005208743</v>
      </c>
    </row>
    <row r="23" spans="1:15" x14ac:dyDescent="0.25">
      <c r="A23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"4416/18", "V-34097/2025-101", "JC=3821"),</v>
      </c>
      <c r="B23" t="s">
        <v>14</v>
      </c>
      <c r="C23" t="s">
        <v>24</v>
      </c>
      <c r="D23" t="s">
        <v>58</v>
      </c>
      <c r="E23">
        <v>140</v>
      </c>
      <c r="F23" t="s">
        <v>132</v>
      </c>
      <c r="G23" t="s">
        <v>139</v>
      </c>
      <c r="H23" t="str">
        <f>DataPozemky[[#This Row],[cislo_vkladu]]</f>
        <v>V-34097/2025-101</v>
      </c>
      <c r="I23" t="str">
        <f>_xlfn.CONCAT("JC=",ROUND(DataPozemky[[#This Row],[jednotkova_cena]],0))</f>
        <v>JC=3821</v>
      </c>
      <c r="J23" t="s">
        <v>157</v>
      </c>
      <c r="K23" t="s">
        <v>214</v>
      </c>
      <c r="L23">
        <v>1150000</v>
      </c>
      <c r="M23">
        <v>301</v>
      </c>
      <c r="N23">
        <v>2</v>
      </c>
      <c r="O23">
        <v>3820.5980066445181</v>
      </c>
    </row>
    <row r="24" spans="1:15" x14ac:dyDescent="0.25">
      <c r="A24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"Újezd u Průhonic", "213/18", "V-83108/2025-101", "JC=3723"),</v>
      </c>
      <c r="B24" t="s">
        <v>14</v>
      </c>
      <c r="C24" t="s">
        <v>27</v>
      </c>
      <c r="D24" t="s">
        <v>59</v>
      </c>
      <c r="E24">
        <v>189</v>
      </c>
      <c r="F24" t="s">
        <v>133</v>
      </c>
      <c r="G24" t="s">
        <v>137</v>
      </c>
      <c r="H24" t="str">
        <f>DataPozemky[[#This Row],[cislo_vkladu]]</f>
        <v>V-83108/2025-101</v>
      </c>
      <c r="I24" t="str">
        <f>_xlfn.CONCAT("JC=",ROUND(DataPozemky[[#This Row],[jednotkova_cena]],0))</f>
        <v>JC=3723</v>
      </c>
      <c r="J24" t="s">
        <v>158</v>
      </c>
      <c r="K24" t="s">
        <v>215</v>
      </c>
      <c r="L24">
        <v>51500000</v>
      </c>
      <c r="M24">
        <v>13833</v>
      </c>
      <c r="N24">
        <v>3</v>
      </c>
      <c r="O24">
        <v>3722.9812766572691</v>
      </c>
    </row>
    <row r="25" spans="1:15" x14ac:dyDescent="0.25">
      <c r="A25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"Krč", "3218/5", "V-12350/2025-101", "JC=595"),</v>
      </c>
      <c r="B25" t="s">
        <v>14</v>
      </c>
      <c r="C25" t="s">
        <v>28</v>
      </c>
      <c r="D25" t="s">
        <v>60</v>
      </c>
      <c r="E25">
        <v>147</v>
      </c>
      <c r="F25" t="s">
        <v>133</v>
      </c>
      <c r="G25" t="s">
        <v>135</v>
      </c>
      <c r="H25" t="str">
        <f>DataPozemky[[#This Row],[cislo_vkladu]]</f>
        <v>V-12350/2025-101</v>
      </c>
      <c r="I25" t="str">
        <f>_xlfn.CONCAT("JC=",ROUND(DataPozemky[[#This Row],[jednotkova_cena]],0))</f>
        <v>JC=595</v>
      </c>
      <c r="J25" t="s">
        <v>159</v>
      </c>
      <c r="K25" t="s">
        <v>216</v>
      </c>
      <c r="L25">
        <v>87500</v>
      </c>
      <c r="M25">
        <v>147</v>
      </c>
      <c r="N25">
        <v>1</v>
      </c>
      <c r="O25">
        <v>595.23809523809518</v>
      </c>
    </row>
    <row r="26" spans="1:15" x14ac:dyDescent="0.25">
      <c r="A26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"Záběhlice", "2643/9", "V-44300/2024-101", "JC=667"),</v>
      </c>
      <c r="B26" t="s">
        <v>14</v>
      </c>
      <c r="C26" t="s">
        <v>23</v>
      </c>
      <c r="D26" t="s">
        <v>61</v>
      </c>
      <c r="E26">
        <v>75</v>
      </c>
      <c r="F26" t="s">
        <v>133</v>
      </c>
      <c r="G26" t="s">
        <v>135</v>
      </c>
      <c r="H26" t="str">
        <f>DataPozemky[[#This Row],[cislo_vkladu]]</f>
        <v>V-44300/2024-101</v>
      </c>
      <c r="I26" t="str">
        <f>_xlfn.CONCAT("JC=",ROUND(DataPozemky[[#This Row],[jednotkova_cena]],0))</f>
        <v>JC=667</v>
      </c>
      <c r="J26" t="s">
        <v>151</v>
      </c>
      <c r="K26" t="s">
        <v>207</v>
      </c>
      <c r="L26">
        <v>8573690</v>
      </c>
      <c r="M26">
        <v>12863</v>
      </c>
      <c r="N26">
        <v>40</v>
      </c>
      <c r="O26">
        <v>666.53891005208743</v>
      </c>
    </row>
    <row r="27" spans="1:15" x14ac:dyDescent="0.25">
      <c r="A27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"Kunratice", "2339/136", "V-18592/2020-101", "JC=770"),</v>
      </c>
      <c r="B27" t="s">
        <v>14</v>
      </c>
      <c r="C27" t="s">
        <v>26</v>
      </c>
      <c r="D27" t="s">
        <v>62</v>
      </c>
      <c r="E27">
        <v>32</v>
      </c>
      <c r="F27" t="s">
        <v>132</v>
      </c>
      <c r="G27" t="s">
        <v>135</v>
      </c>
      <c r="H27" t="str">
        <f>DataPozemky[[#This Row],[cislo_vkladu]]</f>
        <v>V-18592/2020-101</v>
      </c>
      <c r="I27" t="str">
        <f>_xlfn.CONCAT("JC=",ROUND(DataPozemky[[#This Row],[jednotkova_cena]],0))</f>
        <v>JC=770</v>
      </c>
      <c r="J27" t="s">
        <v>156</v>
      </c>
      <c r="K27" t="s">
        <v>213</v>
      </c>
      <c r="L27">
        <v>6250000</v>
      </c>
      <c r="M27">
        <v>8112</v>
      </c>
      <c r="N27">
        <v>10</v>
      </c>
      <c r="O27">
        <v>770.46351084812625</v>
      </c>
    </row>
    <row r="28" spans="1:15" x14ac:dyDescent="0.25">
      <c r="A28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"Krč", "2220/3", "V-20993/2025-101", "JC=1016"),</v>
      </c>
      <c r="B28" t="s">
        <v>14</v>
      </c>
      <c r="C28" t="s">
        <v>28</v>
      </c>
      <c r="D28" t="s">
        <v>63</v>
      </c>
      <c r="E28">
        <v>10</v>
      </c>
      <c r="F28" t="s">
        <v>132</v>
      </c>
      <c r="G28" t="s">
        <v>135</v>
      </c>
      <c r="H28" t="str">
        <f>DataPozemky[[#This Row],[cislo_vkladu]]</f>
        <v>V-20993/2025-101</v>
      </c>
      <c r="I28" t="str">
        <f>_xlfn.CONCAT("JC=",ROUND(DataPozemky[[#This Row],[jednotkova_cena]],0))</f>
        <v>JC=1016</v>
      </c>
      <c r="J28" t="s">
        <v>160</v>
      </c>
      <c r="K28" t="s">
        <v>217</v>
      </c>
      <c r="L28">
        <v>2960000</v>
      </c>
      <c r="M28">
        <v>2912</v>
      </c>
      <c r="N28">
        <v>3</v>
      </c>
      <c r="O28">
        <v>1016.483516483516</v>
      </c>
    </row>
    <row r="29" spans="1:15" x14ac:dyDescent="0.25">
      <c r="A29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"607/3", "V-44404/2024-101", "JC=3900"),</v>
      </c>
      <c r="B29" t="s">
        <v>14</v>
      </c>
      <c r="C29" t="s">
        <v>17</v>
      </c>
      <c r="D29" t="s">
        <v>47</v>
      </c>
      <c r="E29">
        <v>192</v>
      </c>
      <c r="F29" t="s">
        <v>132</v>
      </c>
      <c r="G29" t="s">
        <v>137</v>
      </c>
      <c r="H29" t="str">
        <f>DataPozemky[[#This Row],[cislo_vkladu]]</f>
        <v>V-44404/2024-101</v>
      </c>
      <c r="I29" t="str">
        <f>_xlfn.CONCAT("JC=",ROUND(DataPozemky[[#This Row],[jednotkova_cena]],0))</f>
        <v>JC=3900</v>
      </c>
      <c r="J29" t="s">
        <v>161</v>
      </c>
      <c r="K29" t="s">
        <v>205</v>
      </c>
      <c r="L29">
        <v>8050000</v>
      </c>
      <c r="M29">
        <v>2064</v>
      </c>
      <c r="N29">
        <v>4</v>
      </c>
      <c r="O29">
        <v>3900.193798449613</v>
      </c>
    </row>
    <row r="30" spans="1:15" x14ac:dyDescent="0.25">
      <c r="A30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"4416/24", "V-63235/2023-101", "JC=1200"),</v>
      </c>
      <c r="B30" t="s">
        <v>14</v>
      </c>
      <c r="C30" t="s">
        <v>24</v>
      </c>
      <c r="D30" t="s">
        <v>64</v>
      </c>
      <c r="E30">
        <v>319</v>
      </c>
      <c r="F30" t="s">
        <v>132</v>
      </c>
      <c r="G30" t="s">
        <v>139</v>
      </c>
      <c r="H30" t="str">
        <f>DataPozemky[[#This Row],[cislo_vkladu]]</f>
        <v>V-63235/2023-101</v>
      </c>
      <c r="I30" t="str">
        <f>_xlfn.CONCAT("JC=",ROUND(DataPozemky[[#This Row],[jednotkova_cena]],0))</f>
        <v>JC=1200</v>
      </c>
      <c r="J30" t="s">
        <v>153</v>
      </c>
      <c r="K30" t="s">
        <v>218</v>
      </c>
      <c r="L30">
        <v>382800</v>
      </c>
      <c r="M30">
        <v>319</v>
      </c>
      <c r="N30">
        <v>1</v>
      </c>
      <c r="O30">
        <v>1200</v>
      </c>
    </row>
    <row r="31" spans="1:15" x14ac:dyDescent="0.25">
      <c r="A31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"4416/14", "V-63244/2023-101", "JC=1200"),</v>
      </c>
      <c r="B31" t="s">
        <v>14</v>
      </c>
      <c r="C31" t="s">
        <v>24</v>
      </c>
      <c r="D31" t="s">
        <v>65</v>
      </c>
      <c r="E31">
        <v>412</v>
      </c>
      <c r="F31" t="s">
        <v>132</v>
      </c>
      <c r="G31" t="s">
        <v>139</v>
      </c>
      <c r="H31" t="str">
        <f>DataPozemky[[#This Row],[cislo_vkladu]]</f>
        <v>V-63244/2023-101</v>
      </c>
      <c r="I31" t="str">
        <f>_xlfn.CONCAT("JC=",ROUND(DataPozemky[[#This Row],[jednotkova_cena]],0))</f>
        <v>JC=1200</v>
      </c>
      <c r="J31" t="s">
        <v>153</v>
      </c>
      <c r="K31" t="s">
        <v>219</v>
      </c>
      <c r="L31">
        <v>494400</v>
      </c>
      <c r="M31">
        <v>412</v>
      </c>
      <c r="N31">
        <v>1</v>
      </c>
      <c r="O31">
        <v>1200</v>
      </c>
    </row>
    <row r="32" spans="1:15" x14ac:dyDescent="0.25">
      <c r="A32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"Krč", "3218/5", "V-49813/2025-101", "JC=893"),</v>
      </c>
      <c r="B32" t="s">
        <v>14</v>
      </c>
      <c r="C32" t="s">
        <v>28</v>
      </c>
      <c r="D32" t="s">
        <v>60</v>
      </c>
      <c r="E32">
        <v>147</v>
      </c>
      <c r="F32" t="s">
        <v>133</v>
      </c>
      <c r="G32" t="s">
        <v>135</v>
      </c>
      <c r="H32" t="str">
        <f>DataPozemky[[#This Row],[cislo_vkladu]]</f>
        <v>V-49813/2025-101</v>
      </c>
      <c r="I32" t="str">
        <f>_xlfn.CONCAT("JC=",ROUND(DataPozemky[[#This Row],[jednotkova_cena]],0))</f>
        <v>JC=893</v>
      </c>
      <c r="J32" t="s">
        <v>162</v>
      </c>
      <c r="K32" t="s">
        <v>220</v>
      </c>
      <c r="L32">
        <v>262500</v>
      </c>
      <c r="M32">
        <v>294</v>
      </c>
      <c r="N32">
        <v>2</v>
      </c>
      <c r="O32">
        <v>892.85714285714289</v>
      </c>
    </row>
    <row r="33" spans="1:15" x14ac:dyDescent="0.25">
      <c r="A33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"Újezd u Průhonic", "287/25", "V-11330/2025-101", "JC=1164"),</v>
      </c>
      <c r="B33" t="s">
        <v>14</v>
      </c>
      <c r="C33" t="s">
        <v>27</v>
      </c>
      <c r="D33" t="s">
        <v>66</v>
      </c>
      <c r="E33">
        <v>92</v>
      </c>
      <c r="F33" t="s">
        <v>132</v>
      </c>
      <c r="G33" t="s">
        <v>135</v>
      </c>
      <c r="H33" t="str">
        <f>DataPozemky[[#This Row],[cislo_vkladu]]</f>
        <v>V-11330/2025-101</v>
      </c>
      <c r="I33" t="str">
        <f>_xlfn.CONCAT("JC=",ROUND(DataPozemky[[#This Row],[jednotkova_cena]],0))</f>
        <v>JC=1164</v>
      </c>
      <c r="J33" t="s">
        <v>163</v>
      </c>
      <c r="K33" t="s">
        <v>221</v>
      </c>
      <c r="L33">
        <v>1500000</v>
      </c>
      <c r="M33">
        <v>1289</v>
      </c>
      <c r="N33">
        <v>9</v>
      </c>
      <c r="O33">
        <v>1163.6927851047319</v>
      </c>
    </row>
    <row r="34" spans="1:15" x14ac:dyDescent="0.25">
      <c r="A34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"4416/19", "V-63242/2023-101", "JC=1200"),</v>
      </c>
      <c r="B34" t="s">
        <v>14</v>
      </c>
      <c r="C34" t="s">
        <v>24</v>
      </c>
      <c r="D34" t="s">
        <v>67</v>
      </c>
      <c r="E34">
        <v>324</v>
      </c>
      <c r="F34" t="s">
        <v>132</v>
      </c>
      <c r="G34" t="s">
        <v>139</v>
      </c>
      <c r="H34" t="str">
        <f>DataPozemky[[#This Row],[cislo_vkladu]]</f>
        <v>V-63242/2023-101</v>
      </c>
      <c r="I34" t="str">
        <f>_xlfn.CONCAT("JC=",ROUND(DataPozemky[[#This Row],[jednotkova_cena]],0))</f>
        <v>JC=1200</v>
      </c>
      <c r="J34" t="s">
        <v>153</v>
      </c>
      <c r="K34" t="s">
        <v>222</v>
      </c>
      <c r="L34">
        <v>388800</v>
      </c>
      <c r="M34">
        <v>324</v>
      </c>
      <c r="N34">
        <v>1</v>
      </c>
      <c r="O34">
        <v>1200</v>
      </c>
    </row>
    <row r="35" spans="1:15" x14ac:dyDescent="0.25">
      <c r="A35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"Smíchov", "5019/104", "V-5976/2024-101", "JC=2290"),</v>
      </c>
      <c r="B35" t="s">
        <v>14</v>
      </c>
      <c r="C35" t="s">
        <v>18</v>
      </c>
      <c r="D35" t="s">
        <v>68</v>
      </c>
      <c r="E35">
        <v>90</v>
      </c>
      <c r="F35" t="s">
        <v>133</v>
      </c>
      <c r="G35" t="s">
        <v>137</v>
      </c>
      <c r="H35" t="str">
        <f>DataPozemky[[#This Row],[cislo_vkladu]]</f>
        <v>V-5976/2024-101</v>
      </c>
      <c r="I35" t="str">
        <f>_xlfn.CONCAT("JC=",ROUND(DataPozemky[[#This Row],[jednotkova_cena]],0))</f>
        <v>JC=2290</v>
      </c>
      <c r="J35" t="s">
        <v>164</v>
      </c>
      <c r="K35" t="s">
        <v>223</v>
      </c>
      <c r="L35">
        <v>744250</v>
      </c>
      <c r="M35">
        <v>325</v>
      </c>
      <c r="N35">
        <v>3</v>
      </c>
      <c r="O35">
        <v>2290</v>
      </c>
    </row>
    <row r="36" spans="1:15" x14ac:dyDescent="0.25">
      <c r="A36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"2888/21", "V-39535/2024-101", "JC=1710"),</v>
      </c>
      <c r="B36" t="s">
        <v>14</v>
      </c>
      <c r="C36" t="s">
        <v>17</v>
      </c>
      <c r="D36" t="s">
        <v>69</v>
      </c>
      <c r="E36">
        <v>389</v>
      </c>
      <c r="F36" t="s">
        <v>133</v>
      </c>
      <c r="G36" t="s">
        <v>135</v>
      </c>
      <c r="H36" t="str">
        <f>DataPozemky[[#This Row],[cislo_vkladu]]</f>
        <v>V-39535/2024-101</v>
      </c>
      <c r="I36" t="str">
        <f>_xlfn.CONCAT("JC=",ROUND(DataPozemky[[#This Row],[jednotkova_cena]],0))</f>
        <v>JC=1710</v>
      </c>
      <c r="J36" t="s">
        <v>165</v>
      </c>
      <c r="K36" t="s">
        <v>224</v>
      </c>
      <c r="L36">
        <v>1470600</v>
      </c>
      <c r="M36">
        <v>860</v>
      </c>
      <c r="N36">
        <v>4</v>
      </c>
      <c r="O36">
        <v>1710</v>
      </c>
    </row>
    <row r="37" spans="1:15" x14ac:dyDescent="0.25">
      <c r="A37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"Malešice", "736/2", "V-22547/2025-101", "JC=1750"),</v>
      </c>
      <c r="B37" t="s">
        <v>14</v>
      </c>
      <c r="C37" t="s">
        <v>29</v>
      </c>
      <c r="D37" t="s">
        <v>70</v>
      </c>
      <c r="E37">
        <v>177</v>
      </c>
      <c r="F37" t="s">
        <v>134</v>
      </c>
      <c r="G37" t="s">
        <v>135</v>
      </c>
      <c r="H37" t="str">
        <f>DataPozemky[[#This Row],[cislo_vkladu]]</f>
        <v>V-22547/2025-101</v>
      </c>
      <c r="I37" t="str">
        <f>_xlfn.CONCAT("JC=",ROUND(DataPozemky[[#This Row],[jednotkova_cena]],0))</f>
        <v>JC=1750</v>
      </c>
      <c r="J37" t="s">
        <v>166</v>
      </c>
      <c r="K37" t="s">
        <v>225</v>
      </c>
      <c r="L37">
        <v>309750</v>
      </c>
      <c r="M37">
        <v>177</v>
      </c>
      <c r="N37">
        <v>1</v>
      </c>
      <c r="O37">
        <v>1750</v>
      </c>
    </row>
    <row r="38" spans="1:15" x14ac:dyDescent="0.25">
      <c r="A38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"Kunratice", "2339/139", "V-18592/2020-101", "JC=770"),</v>
      </c>
      <c r="B38" t="s">
        <v>14</v>
      </c>
      <c r="C38" t="s">
        <v>26</v>
      </c>
      <c r="D38" t="s">
        <v>71</v>
      </c>
      <c r="E38">
        <v>119</v>
      </c>
      <c r="F38" t="s">
        <v>132</v>
      </c>
      <c r="G38" t="s">
        <v>135</v>
      </c>
      <c r="H38" t="str">
        <f>DataPozemky[[#This Row],[cislo_vkladu]]</f>
        <v>V-18592/2020-101</v>
      </c>
      <c r="I38" t="str">
        <f>_xlfn.CONCAT("JC=",ROUND(DataPozemky[[#This Row],[jednotkova_cena]],0))</f>
        <v>JC=770</v>
      </c>
      <c r="J38" t="s">
        <v>156</v>
      </c>
      <c r="K38" t="s">
        <v>213</v>
      </c>
      <c r="L38">
        <v>6250000</v>
      </c>
      <c r="M38">
        <v>8112</v>
      </c>
      <c r="N38">
        <v>10</v>
      </c>
      <c r="O38">
        <v>770.46351084812625</v>
      </c>
    </row>
    <row r="39" spans="1:15" x14ac:dyDescent="0.25">
      <c r="A39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"Smíchov", "4813/11", "V-75249/2024-101", "JC=6420"),</v>
      </c>
      <c r="B39" t="s">
        <v>14</v>
      </c>
      <c r="C39" t="s">
        <v>18</v>
      </c>
      <c r="D39" t="s">
        <v>72</v>
      </c>
      <c r="E39">
        <v>36</v>
      </c>
      <c r="F39" t="s">
        <v>132</v>
      </c>
      <c r="G39" t="s">
        <v>135</v>
      </c>
      <c r="H39" t="str">
        <f>DataPozemky[[#This Row],[cislo_vkladu]]</f>
        <v>V-75249/2024-101</v>
      </c>
      <c r="I39" t="str">
        <f>_xlfn.CONCAT("JC=",ROUND(DataPozemky[[#This Row],[jednotkova_cena]],0))</f>
        <v>JC=6420</v>
      </c>
      <c r="J39" t="s">
        <v>167</v>
      </c>
      <c r="K39" t="s">
        <v>226</v>
      </c>
      <c r="L39">
        <v>231120</v>
      </c>
      <c r="M39">
        <v>36</v>
      </c>
      <c r="N39">
        <v>1</v>
      </c>
      <c r="O39">
        <v>6420</v>
      </c>
    </row>
    <row r="40" spans="1:15" x14ac:dyDescent="0.25">
      <c r="A40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"Kunratice", "2339/145", "V-18592/2020-101", "JC=770"),</v>
      </c>
      <c r="B40" t="s">
        <v>14</v>
      </c>
      <c r="C40" t="s">
        <v>26</v>
      </c>
      <c r="D40" t="s">
        <v>73</v>
      </c>
      <c r="E40">
        <v>91</v>
      </c>
      <c r="F40" t="s">
        <v>132</v>
      </c>
      <c r="G40" t="s">
        <v>135</v>
      </c>
      <c r="H40" t="str">
        <f>DataPozemky[[#This Row],[cislo_vkladu]]</f>
        <v>V-18592/2020-101</v>
      </c>
      <c r="I40" t="str">
        <f>_xlfn.CONCAT("JC=",ROUND(DataPozemky[[#This Row],[jednotkova_cena]],0))</f>
        <v>JC=770</v>
      </c>
      <c r="J40" t="s">
        <v>156</v>
      </c>
      <c r="K40" t="s">
        <v>213</v>
      </c>
      <c r="L40">
        <v>6250000</v>
      </c>
      <c r="M40">
        <v>8112</v>
      </c>
      <c r="N40">
        <v>10</v>
      </c>
      <c r="O40">
        <v>770.46351084812625</v>
      </c>
    </row>
    <row r="41" spans="1:15" x14ac:dyDescent="0.25">
      <c r="A41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"Záběhlice", "147", "V-46828/2024-101", "JC=2315"),</v>
      </c>
      <c r="B41" t="s">
        <v>14</v>
      </c>
      <c r="C41" t="s">
        <v>23</v>
      </c>
      <c r="D41" t="s">
        <v>74</v>
      </c>
      <c r="E41">
        <v>29</v>
      </c>
      <c r="F41" t="s">
        <v>133</v>
      </c>
      <c r="G41" t="s">
        <v>135</v>
      </c>
      <c r="H41" t="str">
        <f>DataPozemky[[#This Row],[cislo_vkladu]]</f>
        <v>V-46828/2024-101</v>
      </c>
      <c r="I41" t="str">
        <f>_xlfn.CONCAT("JC=",ROUND(DataPozemky[[#This Row],[jednotkova_cena]],0))</f>
        <v>JC=2315</v>
      </c>
      <c r="J41" t="s">
        <v>168</v>
      </c>
      <c r="K41" t="s">
        <v>227</v>
      </c>
      <c r="L41">
        <v>13497710</v>
      </c>
      <c r="M41">
        <v>5830</v>
      </c>
      <c r="N41">
        <v>8</v>
      </c>
      <c r="O41">
        <v>2315.2161234991422</v>
      </c>
    </row>
    <row r="42" spans="1:15" x14ac:dyDescent="0.25">
      <c r="A42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"Kunratice", "1480/4", "V-25140/2025-101", "JC=2107"),</v>
      </c>
      <c r="B42" t="s">
        <v>14</v>
      </c>
      <c r="C42" t="s">
        <v>26</v>
      </c>
      <c r="D42" t="s">
        <v>75</v>
      </c>
      <c r="E42">
        <v>19</v>
      </c>
      <c r="F42" t="s">
        <v>132</v>
      </c>
      <c r="G42" t="s">
        <v>135</v>
      </c>
      <c r="H42" t="str">
        <f>DataPozemky[[#This Row],[cislo_vkladu]]</f>
        <v>V-25140/2025-101</v>
      </c>
      <c r="I42" t="str">
        <f>_xlfn.CONCAT("JC=",ROUND(DataPozemky[[#This Row],[jednotkova_cena]],0))</f>
        <v>JC=2107</v>
      </c>
      <c r="J42" t="s">
        <v>140</v>
      </c>
      <c r="K42" t="s">
        <v>196</v>
      </c>
      <c r="L42">
        <v>100000000</v>
      </c>
      <c r="M42">
        <v>47452</v>
      </c>
      <c r="N42">
        <v>26</v>
      </c>
      <c r="O42">
        <v>2107.3927337098539</v>
      </c>
    </row>
    <row r="43" spans="1:15" x14ac:dyDescent="0.25">
      <c r="A43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"Šeberov", "1480/4", "V-25140/2025-101", "JC=2107"),</v>
      </c>
      <c r="B43" t="s">
        <v>14</v>
      </c>
      <c r="C43" t="s">
        <v>15</v>
      </c>
      <c r="D43" t="s">
        <v>75</v>
      </c>
      <c r="E43">
        <v>19</v>
      </c>
      <c r="F43" t="s">
        <v>132</v>
      </c>
      <c r="G43" t="s">
        <v>135</v>
      </c>
      <c r="H43" t="str">
        <f>DataPozemky[[#This Row],[cislo_vkladu]]</f>
        <v>V-25140/2025-101</v>
      </c>
      <c r="I43" t="str">
        <f>_xlfn.CONCAT("JC=",ROUND(DataPozemky[[#This Row],[jednotkova_cena]],0))</f>
        <v>JC=2107</v>
      </c>
      <c r="J43" t="s">
        <v>140</v>
      </c>
      <c r="K43" t="s">
        <v>196</v>
      </c>
      <c r="L43">
        <v>100000000</v>
      </c>
      <c r="M43">
        <v>47452</v>
      </c>
      <c r="N43">
        <v>26</v>
      </c>
      <c r="O43">
        <v>2107.3927337098539</v>
      </c>
    </row>
    <row r="44" spans="1:15" x14ac:dyDescent="0.25">
      <c r="A44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"Stodůlky", "1177/113", "V-57637/2023-101", "JC=6100"),</v>
      </c>
      <c r="B44" t="s">
        <v>14</v>
      </c>
      <c r="C44" t="s">
        <v>22</v>
      </c>
      <c r="D44" t="s">
        <v>76</v>
      </c>
      <c r="E44">
        <v>109</v>
      </c>
      <c r="F44" t="s">
        <v>132</v>
      </c>
      <c r="G44" t="s">
        <v>135</v>
      </c>
      <c r="H44" t="str">
        <f>DataPozemky[[#This Row],[cislo_vkladu]]</f>
        <v>V-57637/2023-101</v>
      </c>
      <c r="I44" t="str">
        <f>_xlfn.CONCAT("JC=",ROUND(DataPozemky[[#This Row],[jednotkova_cena]],0))</f>
        <v>JC=6100</v>
      </c>
      <c r="J44" t="s">
        <v>152</v>
      </c>
      <c r="K44" t="s">
        <v>208</v>
      </c>
      <c r="L44">
        <v>9290300</v>
      </c>
      <c r="M44">
        <v>1523</v>
      </c>
      <c r="N44">
        <v>5</v>
      </c>
      <c r="O44">
        <v>6100</v>
      </c>
    </row>
    <row r="45" spans="1:15" x14ac:dyDescent="0.25">
      <c r="A45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"Stodůlky", "16/10", "V-5408/2024-101", "JC=3038"),</v>
      </c>
      <c r="B45" t="s">
        <v>14</v>
      </c>
      <c r="C45" t="s">
        <v>22</v>
      </c>
      <c r="D45" t="s">
        <v>77</v>
      </c>
      <c r="E45">
        <v>97</v>
      </c>
      <c r="F45" t="s">
        <v>132</v>
      </c>
      <c r="G45" t="s">
        <v>138</v>
      </c>
      <c r="H45" t="str">
        <f>DataPozemky[[#This Row],[cislo_vkladu]]</f>
        <v>V-5408/2024-101</v>
      </c>
      <c r="I45" t="str">
        <f>_xlfn.CONCAT("JC=",ROUND(DataPozemky[[#This Row],[jednotkova_cena]],0))</f>
        <v>JC=3038</v>
      </c>
      <c r="J45" t="s">
        <v>169</v>
      </c>
      <c r="K45" t="s">
        <v>228</v>
      </c>
      <c r="L45">
        <v>294720</v>
      </c>
      <c r="M45">
        <v>97</v>
      </c>
      <c r="N45">
        <v>1</v>
      </c>
      <c r="O45">
        <v>3038.350515463917</v>
      </c>
    </row>
    <row r="46" spans="1:15" x14ac:dyDescent="0.25">
      <c r="A46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"4420/49", "V-17866/2023-101", "JC=900"),</v>
      </c>
      <c r="B46" t="s">
        <v>14</v>
      </c>
      <c r="C46" t="s">
        <v>24</v>
      </c>
      <c r="D46" t="s">
        <v>78</v>
      </c>
      <c r="E46">
        <v>294</v>
      </c>
      <c r="F46" t="s">
        <v>132</v>
      </c>
      <c r="G46" t="s">
        <v>135</v>
      </c>
      <c r="H46" t="str">
        <f>DataPozemky[[#This Row],[cislo_vkladu]]</f>
        <v>V-17866/2023-101</v>
      </c>
      <c r="I46" t="str">
        <f>_xlfn.CONCAT("JC=",ROUND(DataPozemky[[#This Row],[jednotkova_cena]],0))</f>
        <v>JC=900</v>
      </c>
      <c r="J46" t="s">
        <v>170</v>
      </c>
      <c r="K46" t="s">
        <v>229</v>
      </c>
      <c r="L46">
        <v>1780200</v>
      </c>
      <c r="M46">
        <v>1978</v>
      </c>
      <c r="N46">
        <v>4</v>
      </c>
      <c r="O46">
        <v>900</v>
      </c>
    </row>
    <row r="47" spans="1:15" x14ac:dyDescent="0.25">
      <c r="A47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"4214/7", "V-28506/2024-101", "JC=890"),</v>
      </c>
      <c r="B47" t="s">
        <v>14</v>
      </c>
      <c r="C47" t="s">
        <v>24</v>
      </c>
      <c r="D47" t="s">
        <v>79</v>
      </c>
      <c r="E47">
        <v>62</v>
      </c>
      <c r="F47" t="s">
        <v>132</v>
      </c>
      <c r="G47" t="s">
        <v>137</v>
      </c>
      <c r="H47" t="str">
        <f>DataPozemky[[#This Row],[cislo_vkladu]]</f>
        <v>V-28506/2024-101</v>
      </c>
      <c r="I47" t="str">
        <f>_xlfn.CONCAT("JC=",ROUND(DataPozemky[[#This Row],[jednotkova_cena]],0))</f>
        <v>JC=890</v>
      </c>
      <c r="J47" t="s">
        <v>171</v>
      </c>
      <c r="K47" t="s">
        <v>230</v>
      </c>
      <c r="L47">
        <v>5612340</v>
      </c>
      <c r="M47">
        <v>6306</v>
      </c>
      <c r="N47">
        <v>7</v>
      </c>
      <c r="O47">
        <v>890</v>
      </c>
    </row>
    <row r="48" spans="1:15" x14ac:dyDescent="0.25">
      <c r="A48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"Braník", "3100/2", "V-4934/2026-101", "JC=2060"),</v>
      </c>
      <c r="B48" t="s">
        <v>14</v>
      </c>
      <c r="C48" t="s">
        <v>30</v>
      </c>
      <c r="D48" t="s">
        <v>80</v>
      </c>
      <c r="E48">
        <v>26</v>
      </c>
      <c r="F48" t="s">
        <v>133</v>
      </c>
      <c r="G48" t="s">
        <v>137</v>
      </c>
      <c r="H48" t="str">
        <f>DataPozemky[[#This Row],[cislo_vkladu]]</f>
        <v>V-4934/2026-101</v>
      </c>
      <c r="I48" t="str">
        <f>_xlfn.CONCAT("JC=",ROUND(DataPozemky[[#This Row],[jednotkova_cena]],0))</f>
        <v>JC=2060</v>
      </c>
      <c r="J48" t="s">
        <v>172</v>
      </c>
      <c r="K48" t="s">
        <v>231</v>
      </c>
      <c r="L48">
        <v>53560</v>
      </c>
      <c r="M48">
        <v>26</v>
      </c>
      <c r="N48">
        <v>1</v>
      </c>
      <c r="O48">
        <v>2060</v>
      </c>
    </row>
    <row r="49" spans="1:15" x14ac:dyDescent="0.25">
      <c r="A49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"2888/18", "V-39541/2024-101", "JC=1719"),</v>
      </c>
      <c r="B49" t="s">
        <v>14</v>
      </c>
      <c r="C49" t="s">
        <v>17</v>
      </c>
      <c r="D49" t="s">
        <v>81</v>
      </c>
      <c r="E49">
        <v>182</v>
      </c>
      <c r="F49" t="s">
        <v>134</v>
      </c>
      <c r="G49" t="s">
        <v>135</v>
      </c>
      <c r="H49" t="str">
        <f>DataPozemky[[#This Row],[cislo_vkladu]]</f>
        <v>V-39541/2024-101</v>
      </c>
      <c r="I49" t="str">
        <f>_xlfn.CONCAT("JC=",ROUND(DataPozemky[[#This Row],[jednotkova_cena]],0))</f>
        <v>JC=1719</v>
      </c>
      <c r="J49" t="s">
        <v>142</v>
      </c>
      <c r="K49" t="s">
        <v>198</v>
      </c>
      <c r="L49">
        <v>30504120</v>
      </c>
      <c r="M49">
        <v>17746</v>
      </c>
      <c r="N49">
        <v>24</v>
      </c>
      <c r="O49">
        <v>1718.929336188437</v>
      </c>
    </row>
    <row r="50" spans="1:15" x14ac:dyDescent="0.25">
      <c r="A50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"2888/21", "V-39535/2024-101", "JC=1710"),</v>
      </c>
      <c r="B50" t="s">
        <v>14</v>
      </c>
      <c r="C50" t="s">
        <v>17</v>
      </c>
      <c r="D50" t="s">
        <v>69</v>
      </c>
      <c r="E50">
        <v>389</v>
      </c>
      <c r="F50" t="s">
        <v>133</v>
      </c>
      <c r="G50" t="s">
        <v>135</v>
      </c>
      <c r="H50" t="str">
        <f>DataPozemky[[#This Row],[cislo_vkladu]]</f>
        <v>V-39535/2024-101</v>
      </c>
      <c r="I50" t="str">
        <f>_xlfn.CONCAT("JC=",ROUND(DataPozemky[[#This Row],[jednotkova_cena]],0))</f>
        <v>JC=1710</v>
      </c>
      <c r="J50" t="s">
        <v>142</v>
      </c>
      <c r="K50" t="s">
        <v>224</v>
      </c>
      <c r="L50">
        <v>1470600</v>
      </c>
      <c r="M50">
        <v>860</v>
      </c>
      <c r="N50">
        <v>4</v>
      </c>
      <c r="O50">
        <v>1710</v>
      </c>
    </row>
    <row r="51" spans="1:15" x14ac:dyDescent="0.25">
      <c r="A51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"Strašnice", "3262/1", "V-61505/2024-101", "JC=6141"),</v>
      </c>
      <c r="B51" t="s">
        <v>14</v>
      </c>
      <c r="C51" t="s">
        <v>25</v>
      </c>
      <c r="D51" t="s">
        <v>82</v>
      </c>
      <c r="E51">
        <v>330</v>
      </c>
      <c r="F51" t="s">
        <v>134</v>
      </c>
      <c r="G51" t="s">
        <v>137</v>
      </c>
      <c r="H51" t="str">
        <f>DataPozemky[[#This Row],[cislo_vkladu]]</f>
        <v>V-61505/2024-101</v>
      </c>
      <c r="I51" t="str">
        <f>_xlfn.CONCAT("JC=",ROUND(DataPozemky[[#This Row],[jednotkova_cena]],0))</f>
        <v>JC=6141</v>
      </c>
      <c r="J51" t="s">
        <v>173</v>
      </c>
      <c r="K51" t="s">
        <v>232</v>
      </c>
      <c r="L51">
        <v>18250000</v>
      </c>
      <c r="M51">
        <v>2972</v>
      </c>
      <c r="N51">
        <v>5</v>
      </c>
      <c r="O51">
        <v>6140.6460296096902</v>
      </c>
    </row>
    <row r="52" spans="1:15" x14ac:dyDescent="0.25">
      <c r="A52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"4416/23", "V-63223/2023-101", "JC=1200"),</v>
      </c>
      <c r="B52" t="s">
        <v>14</v>
      </c>
      <c r="C52" t="s">
        <v>24</v>
      </c>
      <c r="D52" t="s">
        <v>83</v>
      </c>
      <c r="E52">
        <v>322</v>
      </c>
      <c r="F52" t="s">
        <v>132</v>
      </c>
      <c r="G52" t="s">
        <v>139</v>
      </c>
      <c r="H52" t="str">
        <f>DataPozemky[[#This Row],[cislo_vkladu]]</f>
        <v>V-63223/2023-101</v>
      </c>
      <c r="I52" t="str">
        <f>_xlfn.CONCAT("JC=",ROUND(DataPozemky[[#This Row],[jednotkova_cena]],0))</f>
        <v>JC=1200</v>
      </c>
      <c r="J52" t="s">
        <v>153</v>
      </c>
      <c r="K52" t="s">
        <v>233</v>
      </c>
      <c r="L52">
        <v>386400</v>
      </c>
      <c r="M52">
        <v>322</v>
      </c>
      <c r="N52">
        <v>1</v>
      </c>
      <c r="O52">
        <v>1200</v>
      </c>
    </row>
    <row r="53" spans="1:15" x14ac:dyDescent="0.25">
      <c r="A53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"4416/26", "V-63936/2023-101", "JC=1200"),</v>
      </c>
      <c r="B53" t="s">
        <v>14</v>
      </c>
      <c r="C53" t="s">
        <v>24</v>
      </c>
      <c r="D53" t="s">
        <v>84</v>
      </c>
      <c r="E53">
        <v>27</v>
      </c>
      <c r="F53" t="s">
        <v>132</v>
      </c>
      <c r="G53" t="s">
        <v>139</v>
      </c>
      <c r="H53" t="str">
        <f>DataPozemky[[#This Row],[cislo_vkladu]]</f>
        <v>V-63936/2023-101</v>
      </c>
      <c r="I53" t="str">
        <f>_xlfn.CONCAT("JC=",ROUND(DataPozemky[[#This Row],[jednotkova_cena]],0))</f>
        <v>JC=1200</v>
      </c>
      <c r="J53" t="s">
        <v>155</v>
      </c>
      <c r="K53" t="s">
        <v>212</v>
      </c>
      <c r="L53">
        <v>390000</v>
      </c>
      <c r="M53">
        <v>325</v>
      </c>
      <c r="N53">
        <v>2</v>
      </c>
      <c r="O53">
        <v>1200</v>
      </c>
    </row>
    <row r="54" spans="1:15" x14ac:dyDescent="0.25">
      <c r="A54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"Kunratice", "2110/38", "V-47590/2023-101", "JC=2805"),</v>
      </c>
      <c r="B54" t="s">
        <v>14</v>
      </c>
      <c r="C54" t="s">
        <v>26</v>
      </c>
      <c r="D54" t="s">
        <v>85</v>
      </c>
      <c r="E54">
        <v>41</v>
      </c>
      <c r="F54" t="s">
        <v>132</v>
      </c>
      <c r="G54" t="s">
        <v>139</v>
      </c>
      <c r="H54" t="str">
        <f>DataPozemky[[#This Row],[cislo_vkladu]]</f>
        <v>V-47590/2023-101</v>
      </c>
      <c r="I54" t="str">
        <f>_xlfn.CONCAT("JC=",ROUND(DataPozemky[[#This Row],[jednotkova_cena]],0))</f>
        <v>JC=2805</v>
      </c>
      <c r="J54" t="s">
        <v>174</v>
      </c>
      <c r="K54" t="s">
        <v>234</v>
      </c>
      <c r="L54">
        <v>115000</v>
      </c>
      <c r="M54">
        <v>41</v>
      </c>
      <c r="N54">
        <v>1</v>
      </c>
      <c r="O54">
        <v>2804.8780487804879</v>
      </c>
    </row>
    <row r="55" spans="1:15" x14ac:dyDescent="0.25">
      <c r="A55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"Michle", "1451/1", "V-41366/2024-101", "JC=2200"),</v>
      </c>
      <c r="B55" t="s">
        <v>14</v>
      </c>
      <c r="C55" t="s">
        <v>31</v>
      </c>
      <c r="D55" t="s">
        <v>86</v>
      </c>
      <c r="E55">
        <v>128</v>
      </c>
      <c r="F55" t="s">
        <v>134</v>
      </c>
      <c r="G55" t="s">
        <v>135</v>
      </c>
      <c r="H55" t="str">
        <f>DataPozemky[[#This Row],[cislo_vkladu]]</f>
        <v>V-41366/2024-101</v>
      </c>
      <c r="I55" t="str">
        <f>_xlfn.CONCAT("JC=",ROUND(DataPozemky[[#This Row],[jednotkova_cena]],0))</f>
        <v>JC=2200</v>
      </c>
      <c r="J55" t="s">
        <v>175</v>
      </c>
      <c r="K55" t="s">
        <v>235</v>
      </c>
      <c r="L55">
        <v>3003000</v>
      </c>
      <c r="M55">
        <v>1365</v>
      </c>
      <c r="N55">
        <v>4</v>
      </c>
      <c r="O55">
        <v>2200</v>
      </c>
    </row>
    <row r="56" spans="1:15" x14ac:dyDescent="0.25">
      <c r="A56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"2580/130", "V-50101/2024-101", "JC=931"),</v>
      </c>
      <c r="B56" t="s">
        <v>14</v>
      </c>
      <c r="C56" t="s">
        <v>17</v>
      </c>
      <c r="D56" t="s">
        <v>87</v>
      </c>
      <c r="E56">
        <v>339</v>
      </c>
      <c r="F56" t="s">
        <v>133</v>
      </c>
      <c r="G56" t="s">
        <v>137</v>
      </c>
      <c r="H56" t="str">
        <f>DataPozemky[[#This Row],[cislo_vkladu]]</f>
        <v>V-50101/2024-101</v>
      </c>
      <c r="I56" t="str">
        <f>_xlfn.CONCAT("JC=",ROUND(DataPozemky[[#This Row],[jednotkova_cena]],0))</f>
        <v>JC=931</v>
      </c>
      <c r="J56" t="s">
        <v>146</v>
      </c>
      <c r="K56" t="s">
        <v>202</v>
      </c>
      <c r="L56">
        <v>8644544</v>
      </c>
      <c r="M56">
        <v>9283</v>
      </c>
      <c r="N56">
        <v>24</v>
      </c>
      <c r="O56">
        <v>931.22309598190236</v>
      </c>
    </row>
    <row r="57" spans="1:15" x14ac:dyDescent="0.25">
      <c r="A57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"Michle", "2643/9", "V-44300/2024-101", "JC=667"),</v>
      </c>
      <c r="B57" t="s">
        <v>14</v>
      </c>
      <c r="C57" t="s">
        <v>31</v>
      </c>
      <c r="D57" t="s">
        <v>61</v>
      </c>
      <c r="E57">
        <v>75</v>
      </c>
      <c r="F57" t="s">
        <v>133</v>
      </c>
      <c r="G57" t="s">
        <v>135</v>
      </c>
      <c r="H57" t="str">
        <f>DataPozemky[[#This Row],[cislo_vkladu]]</f>
        <v>V-44300/2024-101</v>
      </c>
      <c r="I57" t="str">
        <f>_xlfn.CONCAT("JC=",ROUND(DataPozemky[[#This Row],[jednotkova_cena]],0))</f>
        <v>JC=667</v>
      </c>
      <c r="J57" t="s">
        <v>151</v>
      </c>
      <c r="K57" t="s">
        <v>207</v>
      </c>
      <c r="L57">
        <v>8573690</v>
      </c>
      <c r="M57">
        <v>12863</v>
      </c>
      <c r="N57">
        <v>40</v>
      </c>
      <c r="O57">
        <v>666.53891005208743</v>
      </c>
    </row>
    <row r="58" spans="1:15" x14ac:dyDescent="0.25">
      <c r="A58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"2888/18", "V-39541/2024-101", "JC=1719"),</v>
      </c>
      <c r="B58" t="s">
        <v>14</v>
      </c>
      <c r="C58" t="s">
        <v>17</v>
      </c>
      <c r="D58" t="s">
        <v>81</v>
      </c>
      <c r="E58">
        <v>182</v>
      </c>
      <c r="F58" t="s">
        <v>134</v>
      </c>
      <c r="G58" t="s">
        <v>135</v>
      </c>
      <c r="H58" t="str">
        <f>DataPozemky[[#This Row],[cislo_vkladu]]</f>
        <v>V-39541/2024-101</v>
      </c>
      <c r="I58" t="str">
        <f>_xlfn.CONCAT("JC=",ROUND(DataPozemky[[#This Row],[jednotkova_cena]],0))</f>
        <v>JC=1719</v>
      </c>
      <c r="J58" t="s">
        <v>165</v>
      </c>
      <c r="K58" t="s">
        <v>198</v>
      </c>
      <c r="L58">
        <v>30504120</v>
      </c>
      <c r="M58">
        <v>17746</v>
      </c>
      <c r="N58">
        <v>24</v>
      </c>
      <c r="O58">
        <v>1718.929336188437</v>
      </c>
    </row>
    <row r="59" spans="1:15" x14ac:dyDescent="0.25">
      <c r="A59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"2888/9", "V-39541/2024-101", "JC=1719"),</v>
      </c>
      <c r="B59" t="s">
        <v>14</v>
      </c>
      <c r="C59" t="s">
        <v>17</v>
      </c>
      <c r="D59" t="s">
        <v>39</v>
      </c>
      <c r="E59">
        <v>13</v>
      </c>
      <c r="F59" t="s">
        <v>133</v>
      </c>
      <c r="G59" t="s">
        <v>135</v>
      </c>
      <c r="H59" t="str">
        <f>DataPozemky[[#This Row],[cislo_vkladu]]</f>
        <v>V-39541/2024-101</v>
      </c>
      <c r="I59" t="str">
        <f>_xlfn.CONCAT("JC=",ROUND(DataPozemky[[#This Row],[jednotkova_cena]],0))</f>
        <v>JC=1719</v>
      </c>
      <c r="J59" t="s">
        <v>165</v>
      </c>
      <c r="K59" t="s">
        <v>198</v>
      </c>
      <c r="L59">
        <v>30504120</v>
      </c>
      <c r="M59">
        <v>17746</v>
      </c>
      <c r="N59">
        <v>24</v>
      </c>
      <c r="O59">
        <v>1718.929336188437</v>
      </c>
    </row>
    <row r="60" spans="1:15" x14ac:dyDescent="0.25">
      <c r="A60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"4416/13", "V-63225/2023-101", "JC=1200"),</v>
      </c>
      <c r="B60" t="s">
        <v>14</v>
      </c>
      <c r="C60" t="s">
        <v>24</v>
      </c>
      <c r="D60" t="s">
        <v>88</v>
      </c>
      <c r="E60">
        <v>353</v>
      </c>
      <c r="F60" t="s">
        <v>132</v>
      </c>
      <c r="G60" t="s">
        <v>139</v>
      </c>
      <c r="H60" t="str">
        <f>DataPozemky[[#This Row],[cislo_vkladu]]</f>
        <v>V-63225/2023-101</v>
      </c>
      <c r="I60" t="str">
        <f>_xlfn.CONCAT("JC=",ROUND(DataPozemky[[#This Row],[jednotkova_cena]],0))</f>
        <v>JC=1200</v>
      </c>
      <c r="J60" t="s">
        <v>153</v>
      </c>
      <c r="K60" t="s">
        <v>236</v>
      </c>
      <c r="L60">
        <v>423600</v>
      </c>
      <c r="M60">
        <v>353</v>
      </c>
      <c r="N60">
        <v>1</v>
      </c>
      <c r="O60">
        <v>1200</v>
      </c>
    </row>
    <row r="61" spans="1:15" x14ac:dyDescent="0.25">
      <c r="A61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"4416/6", "V-63221/2023-101", "JC=1200"),</v>
      </c>
      <c r="B61" t="s">
        <v>14</v>
      </c>
      <c r="C61" t="s">
        <v>24</v>
      </c>
      <c r="D61" t="s">
        <v>89</v>
      </c>
      <c r="E61">
        <v>305</v>
      </c>
      <c r="F61" t="s">
        <v>132</v>
      </c>
      <c r="G61" t="s">
        <v>139</v>
      </c>
      <c r="H61" t="str">
        <f>DataPozemky[[#This Row],[cislo_vkladu]]</f>
        <v>V-63221/2023-101</v>
      </c>
      <c r="I61" t="str">
        <f>_xlfn.CONCAT("JC=",ROUND(DataPozemky[[#This Row],[jednotkova_cena]],0))</f>
        <v>JC=1200</v>
      </c>
      <c r="J61" t="s">
        <v>153</v>
      </c>
      <c r="K61" t="s">
        <v>237</v>
      </c>
      <c r="L61">
        <v>366000</v>
      </c>
      <c r="M61">
        <v>305</v>
      </c>
      <c r="N61">
        <v>1</v>
      </c>
      <c r="O61">
        <v>1200</v>
      </c>
    </row>
    <row r="62" spans="1:15" x14ac:dyDescent="0.25">
      <c r="A62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"4416/11", "V-63232/2023-101", "JC=1200"),</v>
      </c>
      <c r="B62" t="s">
        <v>14</v>
      </c>
      <c r="C62" t="s">
        <v>24</v>
      </c>
      <c r="D62" t="s">
        <v>90</v>
      </c>
      <c r="E62">
        <v>353</v>
      </c>
      <c r="F62" t="s">
        <v>132</v>
      </c>
      <c r="G62" t="s">
        <v>139</v>
      </c>
      <c r="H62" t="str">
        <f>DataPozemky[[#This Row],[cislo_vkladu]]</f>
        <v>V-63232/2023-101</v>
      </c>
      <c r="I62" t="str">
        <f>_xlfn.CONCAT("JC=",ROUND(DataPozemky[[#This Row],[jednotkova_cena]],0))</f>
        <v>JC=1200</v>
      </c>
      <c r="J62" t="s">
        <v>153</v>
      </c>
      <c r="K62" t="s">
        <v>238</v>
      </c>
      <c r="L62">
        <v>865200</v>
      </c>
      <c r="M62">
        <v>721</v>
      </c>
      <c r="N62">
        <v>2</v>
      </c>
      <c r="O62">
        <v>1200</v>
      </c>
    </row>
    <row r="63" spans="1:15" x14ac:dyDescent="0.25">
      <c r="A63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"Smíchov", "4705/3", "V-54967/2022-101", "JC=1277"),</v>
      </c>
      <c r="B63" t="s">
        <v>14</v>
      </c>
      <c r="C63" t="s">
        <v>18</v>
      </c>
      <c r="D63" t="s">
        <v>91</v>
      </c>
      <c r="E63">
        <v>136</v>
      </c>
      <c r="F63" t="s">
        <v>132</v>
      </c>
      <c r="G63" t="s">
        <v>135</v>
      </c>
      <c r="H63" t="str">
        <f>DataPozemky[[#This Row],[cislo_vkladu]]</f>
        <v>V-54967/2022-101</v>
      </c>
      <c r="I63" t="str">
        <f>_xlfn.CONCAT("JC=",ROUND(DataPozemky[[#This Row],[jednotkova_cena]],0))</f>
        <v>JC=1277</v>
      </c>
      <c r="J63" t="s">
        <v>143</v>
      </c>
      <c r="K63" t="s">
        <v>199</v>
      </c>
      <c r="L63">
        <v>2314373</v>
      </c>
      <c r="M63">
        <v>1812</v>
      </c>
      <c r="N63">
        <v>6</v>
      </c>
      <c r="O63">
        <v>1277.247792494481</v>
      </c>
    </row>
    <row r="64" spans="1:15" x14ac:dyDescent="0.25">
      <c r="A64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"4473/8", "V-22899/2025-101", "JC=2521"),</v>
      </c>
      <c r="B64" t="s">
        <v>14</v>
      </c>
      <c r="C64" t="s">
        <v>24</v>
      </c>
      <c r="D64" t="s">
        <v>92</v>
      </c>
      <c r="E64">
        <v>457</v>
      </c>
      <c r="F64" t="s">
        <v>132</v>
      </c>
      <c r="G64" t="s">
        <v>135</v>
      </c>
      <c r="H64" t="str">
        <f>DataPozemky[[#This Row],[cislo_vkladu]]</f>
        <v>V-22899/2025-101</v>
      </c>
      <c r="I64" t="str">
        <f>_xlfn.CONCAT("JC=",ROUND(DataPozemky[[#This Row],[jednotkova_cena]],0))</f>
        <v>JC=2521</v>
      </c>
      <c r="J64" t="s">
        <v>176</v>
      </c>
      <c r="K64" t="s">
        <v>239</v>
      </c>
      <c r="L64">
        <v>1454720</v>
      </c>
      <c r="M64">
        <v>577</v>
      </c>
      <c r="N64">
        <v>3</v>
      </c>
      <c r="O64">
        <v>2521.178509532062</v>
      </c>
    </row>
    <row r="65" spans="1:15" x14ac:dyDescent="0.25">
      <c r="A65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"Smíchov", "5019/105", "V-5976/2024-101", "JC=2290"),</v>
      </c>
      <c r="B65" t="s">
        <v>14</v>
      </c>
      <c r="C65" t="s">
        <v>18</v>
      </c>
      <c r="D65" t="s">
        <v>93</v>
      </c>
      <c r="E65">
        <v>117</v>
      </c>
      <c r="F65" t="s">
        <v>133</v>
      </c>
      <c r="G65" t="s">
        <v>137</v>
      </c>
      <c r="H65" t="str">
        <f>DataPozemky[[#This Row],[cislo_vkladu]]</f>
        <v>V-5976/2024-101</v>
      </c>
      <c r="I65" t="str">
        <f>_xlfn.CONCAT("JC=",ROUND(DataPozemky[[#This Row],[jednotkova_cena]],0))</f>
        <v>JC=2290</v>
      </c>
      <c r="J65" t="s">
        <v>164</v>
      </c>
      <c r="K65" t="s">
        <v>223</v>
      </c>
      <c r="L65">
        <v>744250</v>
      </c>
      <c r="M65">
        <v>325</v>
      </c>
      <c r="N65">
        <v>3</v>
      </c>
      <c r="O65">
        <v>2290</v>
      </c>
    </row>
    <row r="66" spans="1:15" x14ac:dyDescent="0.25">
      <c r="A66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"Strašnice", "516/1", "V-61505/2024-101", "JC=6141"),</v>
      </c>
      <c r="B66" t="s">
        <v>14</v>
      </c>
      <c r="C66" t="s">
        <v>25</v>
      </c>
      <c r="D66" t="s">
        <v>94</v>
      </c>
      <c r="E66">
        <v>124</v>
      </c>
      <c r="F66" t="s">
        <v>134</v>
      </c>
      <c r="G66" t="s">
        <v>138</v>
      </c>
      <c r="H66" t="str">
        <f>DataPozemky[[#This Row],[cislo_vkladu]]</f>
        <v>V-61505/2024-101</v>
      </c>
      <c r="I66" t="str">
        <f>_xlfn.CONCAT("JC=",ROUND(DataPozemky[[#This Row],[jednotkova_cena]],0))</f>
        <v>JC=6141</v>
      </c>
      <c r="J66" t="s">
        <v>173</v>
      </c>
      <c r="K66" t="s">
        <v>232</v>
      </c>
      <c r="L66">
        <v>18250000</v>
      </c>
      <c r="M66">
        <v>2972</v>
      </c>
      <c r="N66">
        <v>5</v>
      </c>
      <c r="O66">
        <v>6140.6460296096902</v>
      </c>
    </row>
    <row r="67" spans="1:15" x14ac:dyDescent="0.25">
      <c r="A67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"Krč", "3218/5", "V-49813/2025-101", "JC=893"),</v>
      </c>
      <c r="B67" t="s">
        <v>14</v>
      </c>
      <c r="C67" t="s">
        <v>28</v>
      </c>
      <c r="D67" t="s">
        <v>60</v>
      </c>
      <c r="E67">
        <v>147</v>
      </c>
      <c r="F67" t="s">
        <v>133</v>
      </c>
      <c r="G67" t="s">
        <v>135</v>
      </c>
      <c r="H67" t="str">
        <f>DataPozemky[[#This Row],[cislo_vkladu]]</f>
        <v>V-49813/2025-101</v>
      </c>
      <c r="I67" t="str">
        <f>_xlfn.CONCAT("JC=",ROUND(DataPozemky[[#This Row],[jednotkova_cena]],0))</f>
        <v>JC=893</v>
      </c>
      <c r="J67" t="s">
        <v>162</v>
      </c>
      <c r="K67" t="s">
        <v>220</v>
      </c>
      <c r="L67">
        <v>262500</v>
      </c>
      <c r="M67">
        <v>294</v>
      </c>
      <c r="N67">
        <v>2</v>
      </c>
      <c r="O67">
        <v>892.85714285714289</v>
      </c>
    </row>
    <row r="68" spans="1:15" x14ac:dyDescent="0.25">
      <c r="A68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"Stodůlky", "1177/103", "V-57637/2023-101", "JC=6100"),</v>
      </c>
      <c r="B68" t="s">
        <v>14</v>
      </c>
      <c r="C68" t="s">
        <v>22</v>
      </c>
      <c r="D68" t="s">
        <v>95</v>
      </c>
      <c r="E68">
        <v>484</v>
      </c>
      <c r="F68" t="s">
        <v>132</v>
      </c>
      <c r="G68" t="s">
        <v>135</v>
      </c>
      <c r="H68" t="str">
        <f>DataPozemky[[#This Row],[cislo_vkladu]]</f>
        <v>V-57637/2023-101</v>
      </c>
      <c r="I68" t="str">
        <f>_xlfn.CONCAT("JC=",ROUND(DataPozemky[[#This Row],[jednotkova_cena]],0))</f>
        <v>JC=6100</v>
      </c>
      <c r="J68" t="s">
        <v>152</v>
      </c>
      <c r="K68" t="s">
        <v>208</v>
      </c>
      <c r="L68">
        <v>9290300</v>
      </c>
      <c r="M68">
        <v>1523</v>
      </c>
      <c r="N68">
        <v>5</v>
      </c>
      <c r="O68">
        <v>6100</v>
      </c>
    </row>
    <row r="69" spans="1:15" x14ac:dyDescent="0.25">
      <c r="A69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"Krč", "2220/2", "V-20993/2025-101", "JC=1016"),</v>
      </c>
      <c r="B69" t="s">
        <v>14</v>
      </c>
      <c r="C69" t="s">
        <v>28</v>
      </c>
      <c r="D69" t="s">
        <v>96</v>
      </c>
      <c r="E69">
        <v>90</v>
      </c>
      <c r="F69" t="s">
        <v>132</v>
      </c>
      <c r="G69" t="s">
        <v>135</v>
      </c>
      <c r="H69" t="str">
        <f>DataPozemky[[#This Row],[cislo_vkladu]]</f>
        <v>V-20993/2025-101</v>
      </c>
      <c r="I69" t="str">
        <f>_xlfn.CONCAT("JC=",ROUND(DataPozemky[[#This Row],[jednotkova_cena]],0))</f>
        <v>JC=1016</v>
      </c>
      <c r="J69" t="s">
        <v>160</v>
      </c>
      <c r="K69" t="s">
        <v>217</v>
      </c>
      <c r="L69">
        <v>2960000</v>
      </c>
      <c r="M69">
        <v>2912</v>
      </c>
      <c r="N69">
        <v>3</v>
      </c>
      <c r="O69">
        <v>1016.483516483516</v>
      </c>
    </row>
    <row r="70" spans="1:15" x14ac:dyDescent="0.25">
      <c r="A70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"Letňany", "524/1", "V-43570/2023-101", "JC=1745"),</v>
      </c>
      <c r="B70" t="s">
        <v>14</v>
      </c>
      <c r="C70" t="s">
        <v>16</v>
      </c>
      <c r="D70" t="s">
        <v>97</v>
      </c>
      <c r="E70">
        <v>364</v>
      </c>
      <c r="F70" t="s">
        <v>132</v>
      </c>
      <c r="G70" t="s">
        <v>136</v>
      </c>
      <c r="H70" t="str">
        <f>DataPozemky[[#This Row],[cislo_vkladu]]</f>
        <v>V-43570/2023-101</v>
      </c>
      <c r="I70" t="str">
        <f>_xlfn.CONCAT("JC=",ROUND(DataPozemky[[#This Row],[jednotkova_cena]],0))</f>
        <v>JC=1745</v>
      </c>
      <c r="J70" t="s">
        <v>141</v>
      </c>
      <c r="K70" t="s">
        <v>197</v>
      </c>
      <c r="L70">
        <v>2500000</v>
      </c>
      <c r="M70">
        <v>1433</v>
      </c>
      <c r="N70">
        <v>6</v>
      </c>
      <c r="O70">
        <v>1744.591765526867</v>
      </c>
    </row>
    <row r="71" spans="1:15" x14ac:dyDescent="0.25">
      <c r="A71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"Kunratice", "2339/147", "V-18592/2020-101", "JC=770"),</v>
      </c>
      <c r="B71" t="s">
        <v>14</v>
      </c>
      <c r="C71" t="s">
        <v>26</v>
      </c>
      <c r="D71" t="s">
        <v>98</v>
      </c>
      <c r="E71">
        <v>85</v>
      </c>
      <c r="F71" t="s">
        <v>132</v>
      </c>
      <c r="G71" t="s">
        <v>135</v>
      </c>
      <c r="H71" t="str">
        <f>DataPozemky[[#This Row],[cislo_vkladu]]</f>
        <v>V-18592/2020-101</v>
      </c>
      <c r="I71" t="str">
        <f>_xlfn.CONCAT("JC=",ROUND(DataPozemky[[#This Row],[jednotkova_cena]],0))</f>
        <v>JC=770</v>
      </c>
      <c r="J71" t="s">
        <v>156</v>
      </c>
      <c r="K71" t="s">
        <v>213</v>
      </c>
      <c r="L71">
        <v>6250000</v>
      </c>
      <c r="M71">
        <v>8112</v>
      </c>
      <c r="N71">
        <v>10</v>
      </c>
      <c r="O71">
        <v>770.46351084812625</v>
      </c>
    </row>
    <row r="72" spans="1:15" x14ac:dyDescent="0.25">
      <c r="A72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"Kunratice", "1480/3", "V-25140/2025-101", "JC=2107"),</v>
      </c>
      <c r="B72" t="s">
        <v>14</v>
      </c>
      <c r="C72" t="s">
        <v>26</v>
      </c>
      <c r="D72" t="s">
        <v>37</v>
      </c>
      <c r="E72">
        <v>23</v>
      </c>
      <c r="F72" t="s">
        <v>132</v>
      </c>
      <c r="G72" t="s">
        <v>135</v>
      </c>
      <c r="H72" t="str">
        <f>DataPozemky[[#This Row],[cislo_vkladu]]</f>
        <v>V-25140/2025-101</v>
      </c>
      <c r="I72" t="str">
        <f>_xlfn.CONCAT("JC=",ROUND(DataPozemky[[#This Row],[jednotkova_cena]],0))</f>
        <v>JC=2107</v>
      </c>
      <c r="J72" t="s">
        <v>140</v>
      </c>
      <c r="K72" t="s">
        <v>196</v>
      </c>
      <c r="L72">
        <v>100000000</v>
      </c>
      <c r="M72">
        <v>47452</v>
      </c>
      <c r="N72">
        <v>26</v>
      </c>
      <c r="O72">
        <v>2107.3927337098539</v>
      </c>
    </row>
    <row r="73" spans="1:15" x14ac:dyDescent="0.25">
      <c r="A73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"2974/17", "V-50101/2024-101", "JC=931"),</v>
      </c>
      <c r="B73" t="s">
        <v>14</v>
      </c>
      <c r="C73" t="s">
        <v>17</v>
      </c>
      <c r="D73" t="s">
        <v>99</v>
      </c>
      <c r="E73">
        <v>100</v>
      </c>
      <c r="F73" t="s">
        <v>133</v>
      </c>
      <c r="G73" t="s">
        <v>135</v>
      </c>
      <c r="H73" t="str">
        <f>DataPozemky[[#This Row],[cislo_vkladu]]</f>
        <v>V-50101/2024-101</v>
      </c>
      <c r="I73" t="str">
        <f>_xlfn.CONCAT("JC=",ROUND(DataPozemky[[#This Row],[jednotkova_cena]],0))</f>
        <v>JC=931</v>
      </c>
      <c r="J73" t="s">
        <v>146</v>
      </c>
      <c r="K73" t="s">
        <v>202</v>
      </c>
      <c r="L73">
        <v>8644544</v>
      </c>
      <c r="M73">
        <v>9283</v>
      </c>
      <c r="N73">
        <v>24</v>
      </c>
      <c r="O73">
        <v>931.22309598190236</v>
      </c>
    </row>
    <row r="74" spans="1:15" x14ac:dyDescent="0.25">
      <c r="A74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"4424/7", "V-74094/2024-101", "JC=1200"),</v>
      </c>
      <c r="B74" t="s">
        <v>14</v>
      </c>
      <c r="C74" t="s">
        <v>24</v>
      </c>
      <c r="D74" t="s">
        <v>100</v>
      </c>
      <c r="E74">
        <v>14</v>
      </c>
      <c r="F74" t="s">
        <v>132</v>
      </c>
      <c r="G74" t="s">
        <v>137</v>
      </c>
      <c r="H74" t="str">
        <f>DataPozemky[[#This Row],[cislo_vkladu]]</f>
        <v>V-74094/2024-101</v>
      </c>
      <c r="I74" t="str">
        <f>_xlfn.CONCAT("JC=",ROUND(DataPozemky[[#This Row],[jednotkova_cena]],0))</f>
        <v>JC=1200</v>
      </c>
      <c r="J74" t="s">
        <v>177</v>
      </c>
      <c r="K74" t="s">
        <v>240</v>
      </c>
      <c r="L74">
        <v>20400</v>
      </c>
      <c r="M74">
        <v>17</v>
      </c>
      <c r="N74">
        <v>2</v>
      </c>
      <c r="O74">
        <v>1200</v>
      </c>
    </row>
    <row r="75" spans="1:15" x14ac:dyDescent="0.25">
      <c r="A75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"4474/72", "V-2465/2025-101", "JC=510"),</v>
      </c>
      <c r="B75" t="s">
        <v>14</v>
      </c>
      <c r="C75" t="s">
        <v>24</v>
      </c>
      <c r="D75" t="s">
        <v>101</v>
      </c>
      <c r="E75">
        <v>24</v>
      </c>
      <c r="F75" t="s">
        <v>132</v>
      </c>
      <c r="G75" t="s">
        <v>135</v>
      </c>
      <c r="H75" t="str">
        <f>DataPozemky[[#This Row],[cislo_vkladu]]</f>
        <v>V-2465/2025-101</v>
      </c>
      <c r="I75" t="str">
        <f>_xlfn.CONCAT("JC=",ROUND(DataPozemky[[#This Row],[jednotkova_cena]],0))</f>
        <v>JC=510</v>
      </c>
      <c r="J75" t="s">
        <v>178</v>
      </c>
      <c r="K75" t="s">
        <v>241</v>
      </c>
      <c r="L75">
        <v>350880</v>
      </c>
      <c r="M75">
        <v>688</v>
      </c>
      <c r="N75">
        <v>2</v>
      </c>
      <c r="O75">
        <v>510</v>
      </c>
    </row>
    <row r="76" spans="1:15" x14ac:dyDescent="0.25">
      <c r="A76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"Záběhlice", "5932/3", "V-46828/2024-101", "JC=2315"),</v>
      </c>
      <c r="B76" t="s">
        <v>14</v>
      </c>
      <c r="C76" t="s">
        <v>23</v>
      </c>
      <c r="D76" t="s">
        <v>102</v>
      </c>
      <c r="E76">
        <v>154</v>
      </c>
      <c r="F76" t="s">
        <v>133</v>
      </c>
      <c r="G76" t="s">
        <v>135</v>
      </c>
      <c r="H76" t="str">
        <f>DataPozemky[[#This Row],[cislo_vkladu]]</f>
        <v>V-46828/2024-101</v>
      </c>
      <c r="I76" t="str">
        <f>_xlfn.CONCAT("JC=",ROUND(DataPozemky[[#This Row],[jednotkova_cena]],0))</f>
        <v>JC=2315</v>
      </c>
      <c r="J76" t="s">
        <v>168</v>
      </c>
      <c r="K76" t="s">
        <v>227</v>
      </c>
      <c r="L76">
        <v>13497710</v>
      </c>
      <c r="M76">
        <v>5830</v>
      </c>
      <c r="N76">
        <v>8</v>
      </c>
      <c r="O76">
        <v>2315.2161234991422</v>
      </c>
    </row>
    <row r="77" spans="1:15" x14ac:dyDescent="0.25">
      <c r="A77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"2893/2", "V-39541/2024-101", "JC=1719"),</v>
      </c>
      <c r="B77" t="s">
        <v>14</v>
      </c>
      <c r="C77" t="s">
        <v>17</v>
      </c>
      <c r="D77" t="s">
        <v>103</v>
      </c>
      <c r="E77">
        <v>16</v>
      </c>
      <c r="F77" t="s">
        <v>133</v>
      </c>
      <c r="G77" t="s">
        <v>137</v>
      </c>
      <c r="H77" t="str">
        <f>DataPozemky[[#This Row],[cislo_vkladu]]</f>
        <v>V-39541/2024-101</v>
      </c>
      <c r="I77" t="str">
        <f>_xlfn.CONCAT("JC=",ROUND(DataPozemky[[#This Row],[jednotkova_cena]],0))</f>
        <v>JC=1719</v>
      </c>
      <c r="J77" t="s">
        <v>142</v>
      </c>
      <c r="K77" t="s">
        <v>198</v>
      </c>
      <c r="L77">
        <v>30504120</v>
      </c>
      <c r="M77">
        <v>17746</v>
      </c>
      <c r="N77">
        <v>24</v>
      </c>
      <c r="O77">
        <v>1718.929336188437</v>
      </c>
    </row>
    <row r="78" spans="1:15" x14ac:dyDescent="0.25">
      <c r="A78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"2888/10", "V-39541/2024-101", "JC=1719"),</v>
      </c>
      <c r="B78" t="s">
        <v>14</v>
      </c>
      <c r="C78" t="s">
        <v>17</v>
      </c>
      <c r="D78" t="s">
        <v>104</v>
      </c>
      <c r="E78">
        <v>39</v>
      </c>
      <c r="F78" t="s">
        <v>134</v>
      </c>
      <c r="G78" t="s">
        <v>135</v>
      </c>
      <c r="H78" t="str">
        <f>DataPozemky[[#This Row],[cislo_vkladu]]</f>
        <v>V-39541/2024-101</v>
      </c>
      <c r="I78" t="str">
        <f>_xlfn.CONCAT("JC=",ROUND(DataPozemky[[#This Row],[jednotkova_cena]],0))</f>
        <v>JC=1719</v>
      </c>
      <c r="J78" t="s">
        <v>142</v>
      </c>
      <c r="K78" t="s">
        <v>198</v>
      </c>
      <c r="L78">
        <v>30504120</v>
      </c>
      <c r="M78">
        <v>17746</v>
      </c>
      <c r="N78">
        <v>24</v>
      </c>
      <c r="O78">
        <v>1718.929336188437</v>
      </c>
    </row>
    <row r="79" spans="1:15" x14ac:dyDescent="0.25">
      <c r="A79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"2888/11", "V-39541/2024-101", "JC=1719"),</v>
      </c>
      <c r="B79" t="s">
        <v>14</v>
      </c>
      <c r="C79" t="s">
        <v>17</v>
      </c>
      <c r="D79" t="s">
        <v>40</v>
      </c>
      <c r="E79">
        <v>106</v>
      </c>
      <c r="F79" t="s">
        <v>134</v>
      </c>
      <c r="G79" t="s">
        <v>135</v>
      </c>
      <c r="H79" t="str">
        <f>DataPozemky[[#This Row],[cislo_vkladu]]</f>
        <v>V-39541/2024-101</v>
      </c>
      <c r="I79" t="str">
        <f>_xlfn.CONCAT("JC=",ROUND(DataPozemky[[#This Row],[jednotkova_cena]],0))</f>
        <v>JC=1719</v>
      </c>
      <c r="J79" t="s">
        <v>165</v>
      </c>
      <c r="K79" t="s">
        <v>198</v>
      </c>
      <c r="L79">
        <v>30504120</v>
      </c>
      <c r="M79">
        <v>17746</v>
      </c>
      <c r="N79">
        <v>24</v>
      </c>
      <c r="O79">
        <v>1718.929336188437</v>
      </c>
    </row>
    <row r="80" spans="1:15" x14ac:dyDescent="0.25">
      <c r="A80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"Smíchov", "4707", "V-15058/2025-101", "JC=540"),</v>
      </c>
      <c r="B80" t="s">
        <v>14</v>
      </c>
      <c r="C80" t="s">
        <v>18</v>
      </c>
      <c r="D80" t="s">
        <v>105</v>
      </c>
      <c r="E80">
        <v>353</v>
      </c>
      <c r="F80" t="s">
        <v>132</v>
      </c>
      <c r="G80" t="s">
        <v>135</v>
      </c>
      <c r="H80" t="str">
        <f>DataPozemky[[#This Row],[cislo_vkladu]]</f>
        <v>V-15058/2025-101</v>
      </c>
      <c r="I80" t="str">
        <f>_xlfn.CONCAT("JC=",ROUND(DataPozemky[[#This Row],[jednotkova_cena]],0))</f>
        <v>JC=540</v>
      </c>
      <c r="J80" t="s">
        <v>179</v>
      </c>
      <c r="K80" t="s">
        <v>242</v>
      </c>
      <c r="L80">
        <v>482362</v>
      </c>
      <c r="M80">
        <v>894</v>
      </c>
      <c r="N80">
        <v>3</v>
      </c>
      <c r="O80">
        <v>539.55480984340045</v>
      </c>
    </row>
    <row r="81" spans="1:15" x14ac:dyDescent="0.25">
      <c r="A81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"2893/2", "V-39541/2024-101", "JC=1719"),</v>
      </c>
      <c r="B81" t="s">
        <v>14</v>
      </c>
      <c r="C81" t="s">
        <v>17</v>
      </c>
      <c r="D81" t="s">
        <v>103</v>
      </c>
      <c r="E81">
        <v>16</v>
      </c>
      <c r="F81" t="s">
        <v>133</v>
      </c>
      <c r="G81" t="s">
        <v>137</v>
      </c>
      <c r="H81" t="str">
        <f>DataPozemky[[#This Row],[cislo_vkladu]]</f>
        <v>V-39541/2024-101</v>
      </c>
      <c r="I81" t="str">
        <f>_xlfn.CONCAT("JC=",ROUND(DataPozemky[[#This Row],[jednotkova_cena]],0))</f>
        <v>JC=1719</v>
      </c>
      <c r="J81" t="s">
        <v>165</v>
      </c>
      <c r="K81" t="s">
        <v>198</v>
      </c>
      <c r="L81">
        <v>30504120</v>
      </c>
      <c r="M81">
        <v>17746</v>
      </c>
      <c r="N81">
        <v>24</v>
      </c>
      <c r="O81">
        <v>1718.929336188437</v>
      </c>
    </row>
    <row r="82" spans="1:15" x14ac:dyDescent="0.25">
      <c r="A82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"Chodov", "2332/44", "V-8162/2025-101", "JC=1010"),</v>
      </c>
      <c r="B82" t="s">
        <v>14</v>
      </c>
      <c r="C82" t="s">
        <v>32</v>
      </c>
      <c r="D82" t="s">
        <v>106</v>
      </c>
      <c r="E82">
        <v>221</v>
      </c>
      <c r="F82" t="s">
        <v>132</v>
      </c>
      <c r="G82" t="s">
        <v>135</v>
      </c>
      <c r="H82" t="str">
        <f>DataPozemky[[#This Row],[cislo_vkladu]]</f>
        <v>V-8162/2025-101</v>
      </c>
      <c r="I82" t="str">
        <f>_xlfn.CONCAT("JC=",ROUND(DataPozemky[[#This Row],[jednotkova_cena]],0))</f>
        <v>JC=1010</v>
      </c>
      <c r="J82" t="s">
        <v>180</v>
      </c>
      <c r="K82" t="s">
        <v>243</v>
      </c>
      <c r="L82">
        <v>7200000</v>
      </c>
      <c r="M82">
        <v>7130</v>
      </c>
      <c r="N82">
        <v>7</v>
      </c>
      <c r="O82">
        <v>1009.817671809257</v>
      </c>
    </row>
    <row r="83" spans="1:15" x14ac:dyDescent="0.25">
      <c r="A83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"Michle", "5929/5", "V-44300/2024-101", "JC=667"),</v>
      </c>
      <c r="B83" t="s">
        <v>14</v>
      </c>
      <c r="C83" t="s">
        <v>31</v>
      </c>
      <c r="D83" t="s">
        <v>107</v>
      </c>
      <c r="E83">
        <v>265</v>
      </c>
      <c r="F83" t="s">
        <v>132</v>
      </c>
      <c r="G83" t="s">
        <v>137</v>
      </c>
      <c r="H83" t="str">
        <f>DataPozemky[[#This Row],[cislo_vkladu]]</f>
        <v>V-44300/2024-101</v>
      </c>
      <c r="I83" t="str">
        <f>_xlfn.CONCAT("JC=",ROUND(DataPozemky[[#This Row],[jednotkova_cena]],0))</f>
        <v>JC=667</v>
      </c>
      <c r="J83" t="s">
        <v>151</v>
      </c>
      <c r="K83" t="s">
        <v>207</v>
      </c>
      <c r="L83">
        <v>8573690</v>
      </c>
      <c r="M83">
        <v>12863</v>
      </c>
      <c r="N83">
        <v>40</v>
      </c>
      <c r="O83">
        <v>666.53891005208743</v>
      </c>
    </row>
    <row r="84" spans="1:15" x14ac:dyDescent="0.25">
      <c r="A84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"Michle", "5928/7", "V-44300/2024-101", "JC=667"),</v>
      </c>
      <c r="B84" t="s">
        <v>14</v>
      </c>
      <c r="C84" t="s">
        <v>31</v>
      </c>
      <c r="D84" t="s">
        <v>49</v>
      </c>
      <c r="E84">
        <v>23</v>
      </c>
      <c r="F84" t="s">
        <v>133</v>
      </c>
      <c r="G84" t="s">
        <v>135</v>
      </c>
      <c r="H84" t="str">
        <f>DataPozemky[[#This Row],[cislo_vkladu]]</f>
        <v>V-44300/2024-101</v>
      </c>
      <c r="I84" t="str">
        <f>_xlfn.CONCAT("JC=",ROUND(DataPozemky[[#This Row],[jednotkova_cena]],0))</f>
        <v>JC=667</v>
      </c>
      <c r="J84" t="s">
        <v>151</v>
      </c>
      <c r="K84" t="s">
        <v>207</v>
      </c>
      <c r="L84">
        <v>8573690</v>
      </c>
      <c r="M84">
        <v>12863</v>
      </c>
      <c r="N84">
        <v>40</v>
      </c>
      <c r="O84">
        <v>666.53891005208743</v>
      </c>
    </row>
    <row r="85" spans="1:15" x14ac:dyDescent="0.25">
      <c r="A85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"Michle", "5849/3", "V-44300/2024-101", "JC=667"),</v>
      </c>
      <c r="B85" t="s">
        <v>14</v>
      </c>
      <c r="C85" t="s">
        <v>31</v>
      </c>
      <c r="D85" t="s">
        <v>57</v>
      </c>
      <c r="E85">
        <v>85</v>
      </c>
      <c r="F85" t="s">
        <v>133</v>
      </c>
      <c r="G85" t="s">
        <v>135</v>
      </c>
      <c r="H85" t="str">
        <f>DataPozemky[[#This Row],[cislo_vkladu]]</f>
        <v>V-44300/2024-101</v>
      </c>
      <c r="I85" t="str">
        <f>_xlfn.CONCAT("JC=",ROUND(DataPozemky[[#This Row],[jednotkova_cena]],0))</f>
        <v>JC=667</v>
      </c>
      <c r="J85" t="s">
        <v>151</v>
      </c>
      <c r="K85" t="s">
        <v>207</v>
      </c>
      <c r="L85">
        <v>8573690</v>
      </c>
      <c r="M85">
        <v>12863</v>
      </c>
      <c r="N85">
        <v>40</v>
      </c>
      <c r="O85">
        <v>666.53891005208743</v>
      </c>
    </row>
    <row r="86" spans="1:15" x14ac:dyDescent="0.25">
      <c r="A86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"4455/174", "V-22888/2025-101", "JC=525"),</v>
      </c>
      <c r="B86" t="s">
        <v>14</v>
      </c>
      <c r="C86" t="s">
        <v>24</v>
      </c>
      <c r="D86" t="s">
        <v>108</v>
      </c>
      <c r="E86">
        <v>14</v>
      </c>
      <c r="F86" t="s">
        <v>132</v>
      </c>
      <c r="G86" t="s">
        <v>137</v>
      </c>
      <c r="H86" t="str">
        <f>DataPozemky[[#This Row],[cislo_vkladu]]</f>
        <v>V-22888/2025-101</v>
      </c>
      <c r="I86" t="str">
        <f>_xlfn.CONCAT("JC=",ROUND(DataPozemky[[#This Row],[jednotkova_cena]],0))</f>
        <v>JC=525</v>
      </c>
      <c r="J86" t="s">
        <v>181</v>
      </c>
      <c r="K86" t="s">
        <v>244</v>
      </c>
      <c r="L86">
        <v>7350</v>
      </c>
      <c r="M86">
        <v>14</v>
      </c>
      <c r="N86">
        <v>1</v>
      </c>
      <c r="O86">
        <v>525</v>
      </c>
    </row>
    <row r="87" spans="1:15" x14ac:dyDescent="0.25">
      <c r="A87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"Újezd u Průhonic", "213/17", "V-75146/2025-101", "JC=3058"),</v>
      </c>
      <c r="B87" t="s">
        <v>14</v>
      </c>
      <c r="C87" t="s">
        <v>27</v>
      </c>
      <c r="D87" t="s">
        <v>109</v>
      </c>
      <c r="E87">
        <v>160</v>
      </c>
      <c r="F87" t="s">
        <v>133</v>
      </c>
      <c r="G87" t="s">
        <v>137</v>
      </c>
      <c r="H87" t="str">
        <f>DataPozemky[[#This Row],[cislo_vkladu]]</f>
        <v>V-75146/2025-101</v>
      </c>
      <c r="I87" t="str">
        <f>_xlfn.CONCAT("JC=",ROUND(DataPozemky[[#This Row],[jednotkova_cena]],0))</f>
        <v>JC=3058</v>
      </c>
      <c r="J87" t="s">
        <v>182</v>
      </c>
      <c r="K87" t="s">
        <v>245</v>
      </c>
      <c r="L87">
        <v>79906549</v>
      </c>
      <c r="M87">
        <v>26130</v>
      </c>
      <c r="N87">
        <v>13</v>
      </c>
      <c r="O87">
        <v>3058.0386146192118</v>
      </c>
    </row>
    <row r="88" spans="1:15" x14ac:dyDescent="0.25">
      <c r="A88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"4416/12", "V-63248/2023-101", "JC=1200"),</v>
      </c>
      <c r="B88" t="s">
        <v>14</v>
      </c>
      <c r="C88" t="s">
        <v>24</v>
      </c>
      <c r="D88" t="s">
        <v>110</v>
      </c>
      <c r="E88">
        <v>364</v>
      </c>
      <c r="F88" t="s">
        <v>132</v>
      </c>
      <c r="G88" t="s">
        <v>139</v>
      </c>
      <c r="H88" t="str">
        <f>DataPozemky[[#This Row],[cislo_vkladu]]</f>
        <v>V-63248/2023-101</v>
      </c>
      <c r="I88" t="str">
        <f>_xlfn.CONCAT("JC=",ROUND(DataPozemky[[#This Row],[jednotkova_cena]],0))</f>
        <v>JC=1200</v>
      </c>
      <c r="J88" t="s">
        <v>153</v>
      </c>
      <c r="K88" t="s">
        <v>246</v>
      </c>
      <c r="L88">
        <v>436800</v>
      </c>
      <c r="M88">
        <v>364</v>
      </c>
      <c r="N88">
        <v>1</v>
      </c>
      <c r="O88">
        <v>1200</v>
      </c>
    </row>
    <row r="89" spans="1:15" x14ac:dyDescent="0.25">
      <c r="A89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"4416/10", "V-63232/2023-101", "JC=1200"),</v>
      </c>
      <c r="B89" t="s">
        <v>14</v>
      </c>
      <c r="C89" t="s">
        <v>24</v>
      </c>
      <c r="D89" t="s">
        <v>111</v>
      </c>
      <c r="E89">
        <v>368</v>
      </c>
      <c r="F89" t="s">
        <v>132</v>
      </c>
      <c r="G89" t="s">
        <v>139</v>
      </c>
      <c r="H89" t="str">
        <f>DataPozemky[[#This Row],[cislo_vkladu]]</f>
        <v>V-63232/2023-101</v>
      </c>
      <c r="I89" t="str">
        <f>_xlfn.CONCAT("JC=",ROUND(DataPozemky[[#This Row],[jednotkova_cena]],0))</f>
        <v>JC=1200</v>
      </c>
      <c r="J89" t="s">
        <v>153</v>
      </c>
      <c r="K89" t="s">
        <v>238</v>
      </c>
      <c r="L89">
        <v>865200</v>
      </c>
      <c r="M89">
        <v>721</v>
      </c>
      <c r="N89">
        <v>2</v>
      </c>
      <c r="O89">
        <v>1200</v>
      </c>
    </row>
    <row r="90" spans="1:15" x14ac:dyDescent="0.25">
      <c r="A90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"Smíchov", "438/2", "V-83441/2021-101", "JC=3511"),</v>
      </c>
      <c r="B90" t="s">
        <v>14</v>
      </c>
      <c r="C90" t="s">
        <v>18</v>
      </c>
      <c r="D90" t="s">
        <v>112</v>
      </c>
      <c r="E90">
        <v>214</v>
      </c>
      <c r="F90" t="s">
        <v>134</v>
      </c>
      <c r="G90" t="s">
        <v>135</v>
      </c>
      <c r="H90" t="str">
        <f>DataPozemky[[#This Row],[cislo_vkladu]]</f>
        <v>V-83441/2021-101</v>
      </c>
      <c r="I90" t="str">
        <f>_xlfn.CONCAT("JC=",ROUND(DataPozemky[[#This Row],[jednotkova_cena]],0))</f>
        <v>JC=3511</v>
      </c>
      <c r="J90" t="s">
        <v>183</v>
      </c>
      <c r="K90" t="s">
        <v>247</v>
      </c>
      <c r="L90">
        <v>983000</v>
      </c>
      <c r="M90">
        <v>280</v>
      </c>
      <c r="N90">
        <v>3</v>
      </c>
      <c r="O90">
        <v>3510.7142857142858</v>
      </c>
    </row>
    <row r="91" spans="1:15" x14ac:dyDescent="0.25">
      <c r="A91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"Liboc", "1061/80", "V-35355/2022-101", "JC=3111"),</v>
      </c>
      <c r="B91" t="s">
        <v>14</v>
      </c>
      <c r="C91" t="s">
        <v>33</v>
      </c>
      <c r="D91" t="s">
        <v>113</v>
      </c>
      <c r="E91">
        <v>367</v>
      </c>
      <c r="F91" t="s">
        <v>134</v>
      </c>
      <c r="G91" t="s">
        <v>135</v>
      </c>
      <c r="H91" t="str">
        <f>DataPozemky[[#This Row],[cislo_vkladu]]</f>
        <v>V-35355/2022-101</v>
      </c>
      <c r="I91" t="str">
        <f>_xlfn.CONCAT("JC=",ROUND(DataPozemky[[#This Row],[jednotkova_cena]],0))</f>
        <v>JC=3111</v>
      </c>
      <c r="J91" t="s">
        <v>184</v>
      </c>
      <c r="K91" t="s">
        <v>248</v>
      </c>
      <c r="L91">
        <v>1141912</v>
      </c>
      <c r="M91">
        <v>367</v>
      </c>
      <c r="N91">
        <v>1</v>
      </c>
      <c r="O91">
        <v>3111.476839237057</v>
      </c>
    </row>
    <row r="92" spans="1:15" x14ac:dyDescent="0.25">
      <c r="A92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"Chodov", "3425", "V-16582/2024-101", "JC=1220"),</v>
      </c>
      <c r="B92" t="s">
        <v>14</v>
      </c>
      <c r="C92" t="s">
        <v>32</v>
      </c>
      <c r="D92" t="s">
        <v>114</v>
      </c>
      <c r="E92">
        <v>45</v>
      </c>
      <c r="F92" t="s">
        <v>134</v>
      </c>
      <c r="G92" t="s">
        <v>135</v>
      </c>
      <c r="H92" t="str">
        <f>DataPozemky[[#This Row],[cislo_vkladu]]</f>
        <v>V-16582/2024-101</v>
      </c>
      <c r="I92" t="str">
        <f>_xlfn.CONCAT("JC=",ROUND(DataPozemky[[#This Row],[jednotkova_cena]],0))</f>
        <v>JC=1220</v>
      </c>
      <c r="J92" t="s">
        <v>185</v>
      </c>
      <c r="K92" t="s">
        <v>249</v>
      </c>
      <c r="L92">
        <v>54900</v>
      </c>
      <c r="M92">
        <v>45</v>
      </c>
      <c r="N92">
        <v>1</v>
      </c>
      <c r="O92">
        <v>1220</v>
      </c>
    </row>
    <row r="93" spans="1:15" x14ac:dyDescent="0.25">
      <c r="A93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"Smíchov", "4679/5", "V-13159/2023-101", "JC=690"),</v>
      </c>
      <c r="B93" t="s">
        <v>14</v>
      </c>
      <c r="C93" t="s">
        <v>18</v>
      </c>
      <c r="D93" t="s">
        <v>115</v>
      </c>
      <c r="E93">
        <v>10</v>
      </c>
      <c r="F93" t="s">
        <v>132</v>
      </c>
      <c r="G93" t="s">
        <v>135</v>
      </c>
      <c r="H93" t="str">
        <f>DataPozemky[[#This Row],[cislo_vkladu]]</f>
        <v>V-13159/2023-101</v>
      </c>
      <c r="I93" t="str">
        <f>_xlfn.CONCAT("JC=",ROUND(DataPozemky[[#This Row],[jednotkova_cena]],0))</f>
        <v>JC=690</v>
      </c>
      <c r="J93" t="s">
        <v>186</v>
      </c>
      <c r="K93" t="s">
        <v>250</v>
      </c>
      <c r="L93">
        <v>135200</v>
      </c>
      <c r="M93">
        <v>196</v>
      </c>
      <c r="N93">
        <v>3</v>
      </c>
      <c r="O93">
        <v>689.79591836734699</v>
      </c>
    </row>
    <row r="94" spans="1:15" x14ac:dyDescent="0.25">
      <c r="A94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"Újezd u Průhonic", "288/2", "V-11330/2025-101", "JC=1164"),</v>
      </c>
      <c r="B94" t="s">
        <v>14</v>
      </c>
      <c r="C94" t="s">
        <v>27</v>
      </c>
      <c r="D94" t="s">
        <v>116</v>
      </c>
      <c r="E94">
        <v>15</v>
      </c>
      <c r="F94" t="s">
        <v>132</v>
      </c>
      <c r="G94" t="s">
        <v>135</v>
      </c>
      <c r="H94" t="str">
        <f>DataPozemky[[#This Row],[cislo_vkladu]]</f>
        <v>V-11330/2025-101</v>
      </c>
      <c r="I94" t="str">
        <f>_xlfn.CONCAT("JC=",ROUND(DataPozemky[[#This Row],[jednotkova_cena]],0))</f>
        <v>JC=1164</v>
      </c>
      <c r="J94" t="s">
        <v>163</v>
      </c>
      <c r="K94" t="s">
        <v>221</v>
      </c>
      <c r="L94">
        <v>1500000</v>
      </c>
      <c r="M94">
        <v>1289</v>
      </c>
      <c r="N94">
        <v>9</v>
      </c>
      <c r="O94">
        <v>1163.6927851047319</v>
      </c>
    </row>
    <row r="95" spans="1:15" x14ac:dyDescent="0.25">
      <c r="A95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"4105/7", "V-772/2024-101", "JC=1000"),</v>
      </c>
      <c r="B95" t="s">
        <v>14</v>
      </c>
      <c r="C95" t="s">
        <v>24</v>
      </c>
      <c r="D95" t="s">
        <v>117</v>
      </c>
      <c r="E95">
        <v>113</v>
      </c>
      <c r="F95" t="s">
        <v>132</v>
      </c>
      <c r="G95" t="s">
        <v>137</v>
      </c>
      <c r="H95" t="str">
        <f>DataPozemky[[#This Row],[cislo_vkladu]]</f>
        <v>V-772/2024-101</v>
      </c>
      <c r="I95" t="str">
        <f>_xlfn.CONCAT("JC=",ROUND(DataPozemky[[#This Row],[jednotkova_cena]],0))</f>
        <v>JC=1000</v>
      </c>
      <c r="J95" t="s">
        <v>187</v>
      </c>
      <c r="K95" t="s">
        <v>251</v>
      </c>
      <c r="L95">
        <v>162000</v>
      </c>
      <c r="M95">
        <v>162</v>
      </c>
      <c r="N95">
        <v>2</v>
      </c>
      <c r="O95">
        <v>1000</v>
      </c>
    </row>
    <row r="96" spans="1:15" x14ac:dyDescent="0.25">
      <c r="A96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"4416/18", "V-1399/2024-101", "JC=1200"),</v>
      </c>
      <c r="B96" t="s">
        <v>14</v>
      </c>
      <c r="C96" t="s">
        <v>24</v>
      </c>
      <c r="D96" t="s">
        <v>58</v>
      </c>
      <c r="E96">
        <v>140</v>
      </c>
      <c r="F96" t="s">
        <v>132</v>
      </c>
      <c r="G96" t="s">
        <v>139</v>
      </c>
      <c r="H96" t="str">
        <f>DataPozemky[[#This Row],[cislo_vkladu]]</f>
        <v>V-1399/2024-101</v>
      </c>
      <c r="I96" t="str">
        <f>_xlfn.CONCAT("JC=",ROUND(DataPozemky[[#This Row],[jednotkova_cena]],0))</f>
        <v>JC=1200</v>
      </c>
      <c r="J96" t="s">
        <v>188</v>
      </c>
      <c r="K96" t="s">
        <v>252</v>
      </c>
      <c r="L96">
        <v>182400</v>
      </c>
      <c r="M96">
        <v>152</v>
      </c>
      <c r="N96">
        <v>3</v>
      </c>
      <c r="O96">
        <v>1200</v>
      </c>
    </row>
    <row r="97" spans="1:15" x14ac:dyDescent="0.25">
      <c r="A97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"Holešovice", "1000/1", "V-33906/2025-101", "JC=5137"),</v>
      </c>
      <c r="B97" t="s">
        <v>14</v>
      </c>
      <c r="C97" t="s">
        <v>34</v>
      </c>
      <c r="D97" t="s">
        <v>118</v>
      </c>
      <c r="E97">
        <v>267</v>
      </c>
      <c r="F97" t="s">
        <v>132</v>
      </c>
      <c r="G97" t="s">
        <v>137</v>
      </c>
      <c r="H97" t="str">
        <f>DataPozemky[[#This Row],[cislo_vkladu]]</f>
        <v>V-33906/2025-101</v>
      </c>
      <c r="I97" t="str">
        <f>_xlfn.CONCAT("JC=",ROUND(DataPozemky[[#This Row],[jednotkova_cena]],0))</f>
        <v>JC=5137</v>
      </c>
      <c r="J97" t="s">
        <v>189</v>
      </c>
      <c r="K97" t="s">
        <v>253</v>
      </c>
      <c r="L97">
        <v>1371500</v>
      </c>
      <c r="M97">
        <v>267</v>
      </c>
      <c r="N97">
        <v>1</v>
      </c>
      <c r="O97">
        <v>5136.7041198501875</v>
      </c>
    </row>
    <row r="98" spans="1:15" x14ac:dyDescent="0.25">
      <c r="A98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"Holešovice", "1000/3", "V-1214/2024-101", "JC=3936"),</v>
      </c>
      <c r="B98" t="s">
        <v>14</v>
      </c>
      <c r="C98" t="s">
        <v>34</v>
      </c>
      <c r="D98" t="s">
        <v>119</v>
      </c>
      <c r="E98">
        <v>191</v>
      </c>
      <c r="F98" t="s">
        <v>132</v>
      </c>
      <c r="G98" t="s">
        <v>137</v>
      </c>
      <c r="H98" t="str">
        <f>DataPozemky[[#This Row],[cislo_vkladu]]</f>
        <v>V-1214/2024-101</v>
      </c>
      <c r="I98" t="str">
        <f>_xlfn.CONCAT("JC=",ROUND(DataPozemky[[#This Row],[jednotkova_cena]],0))</f>
        <v>JC=3936</v>
      </c>
      <c r="J98" t="s">
        <v>190</v>
      </c>
      <c r="K98" t="s">
        <v>254</v>
      </c>
      <c r="L98">
        <v>1657000</v>
      </c>
      <c r="M98">
        <v>421</v>
      </c>
      <c r="N98">
        <v>2</v>
      </c>
      <c r="O98">
        <v>3935.8669833729218</v>
      </c>
    </row>
    <row r="99" spans="1:15" x14ac:dyDescent="0.25">
      <c r="A99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"4416/14", "V-25670/2024-101", "JC=3641"),</v>
      </c>
      <c r="B99" t="s">
        <v>14</v>
      </c>
      <c r="C99" t="s">
        <v>24</v>
      </c>
      <c r="D99" t="s">
        <v>65</v>
      </c>
      <c r="E99">
        <v>412</v>
      </c>
      <c r="F99" t="s">
        <v>132</v>
      </c>
      <c r="G99" t="s">
        <v>139</v>
      </c>
      <c r="H99" t="str">
        <f>DataPozemky[[#This Row],[cislo_vkladu]]</f>
        <v>V-25670/2024-101</v>
      </c>
      <c r="I99" t="str">
        <f>_xlfn.CONCAT("JC=",ROUND(DataPozemky[[#This Row],[jednotkova_cena]],0))</f>
        <v>JC=3641</v>
      </c>
      <c r="J99" t="s">
        <v>191</v>
      </c>
      <c r="K99" t="s">
        <v>255</v>
      </c>
      <c r="L99">
        <v>1500000</v>
      </c>
      <c r="M99">
        <v>412</v>
      </c>
      <c r="N99">
        <v>1</v>
      </c>
      <c r="O99">
        <v>3640.7766990291261</v>
      </c>
    </row>
    <row r="100" spans="1:15" x14ac:dyDescent="0.25">
      <c r="A100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"Michle", "1453/1", "V-41366/2024-101", "JC=2200"),</v>
      </c>
      <c r="B100" t="s">
        <v>14</v>
      </c>
      <c r="C100" t="s">
        <v>31</v>
      </c>
      <c r="D100" t="s">
        <v>120</v>
      </c>
      <c r="E100">
        <v>316</v>
      </c>
      <c r="F100" t="s">
        <v>134</v>
      </c>
      <c r="G100" t="s">
        <v>135</v>
      </c>
      <c r="H100" t="str">
        <f>DataPozemky[[#This Row],[cislo_vkladu]]</f>
        <v>V-41366/2024-101</v>
      </c>
      <c r="I100" t="str">
        <f>_xlfn.CONCAT("JC=",ROUND(DataPozemky[[#This Row],[jednotkova_cena]],0))</f>
        <v>JC=2200</v>
      </c>
      <c r="J100" t="s">
        <v>175</v>
      </c>
      <c r="K100" t="s">
        <v>235</v>
      </c>
      <c r="L100">
        <v>3003000</v>
      </c>
      <c r="M100">
        <v>1365</v>
      </c>
      <c r="N100">
        <v>4</v>
      </c>
      <c r="O100">
        <v>2200</v>
      </c>
    </row>
    <row r="101" spans="1:15" x14ac:dyDescent="0.25">
      <c r="A101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"Letňany", "526/4", "V-43570/2023-101", "JC=1745"),</v>
      </c>
      <c r="B101" t="s">
        <v>14</v>
      </c>
      <c r="C101" t="s">
        <v>16</v>
      </c>
      <c r="D101" t="s">
        <v>121</v>
      </c>
      <c r="E101">
        <v>352</v>
      </c>
      <c r="F101" t="s">
        <v>132</v>
      </c>
      <c r="G101" t="s">
        <v>135</v>
      </c>
      <c r="H101" t="str">
        <f>DataPozemky[[#This Row],[cislo_vkladu]]</f>
        <v>V-43570/2023-101</v>
      </c>
      <c r="I101" t="str">
        <f>_xlfn.CONCAT("JC=",ROUND(DataPozemky[[#This Row],[jednotkova_cena]],0))</f>
        <v>JC=1745</v>
      </c>
      <c r="J101" t="s">
        <v>141</v>
      </c>
      <c r="K101" t="s">
        <v>197</v>
      </c>
      <c r="L101">
        <v>2500000</v>
      </c>
      <c r="M101">
        <v>1433</v>
      </c>
      <c r="N101">
        <v>6</v>
      </c>
      <c r="O101">
        <v>1744.591765526867</v>
      </c>
    </row>
    <row r="102" spans="1:15" x14ac:dyDescent="0.25">
      <c r="A102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"Stodůlky", "241/3", "V-7551/2024-101", "JC=5892"),</v>
      </c>
      <c r="B102" t="s">
        <v>14</v>
      </c>
      <c r="C102" t="s">
        <v>22</v>
      </c>
      <c r="D102" t="s">
        <v>122</v>
      </c>
      <c r="E102">
        <v>42</v>
      </c>
      <c r="F102" t="s">
        <v>132</v>
      </c>
      <c r="G102" t="s">
        <v>135</v>
      </c>
      <c r="H102" t="str">
        <f>DataPozemky[[#This Row],[cislo_vkladu]]</f>
        <v>V-7551/2024-101</v>
      </c>
      <c r="I102" t="str">
        <f>_xlfn.CONCAT("JC=",ROUND(DataPozemky[[#This Row],[jednotkova_cena]],0))</f>
        <v>JC=5892</v>
      </c>
      <c r="J102" t="s">
        <v>192</v>
      </c>
      <c r="K102" t="s">
        <v>256</v>
      </c>
      <c r="L102">
        <v>318150</v>
      </c>
      <c r="M102">
        <v>54</v>
      </c>
      <c r="N102">
        <v>2</v>
      </c>
      <c r="O102">
        <v>5891.666666666667</v>
      </c>
    </row>
    <row r="103" spans="1:15" x14ac:dyDescent="0.25">
      <c r="A103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"Kunratice", "2339/140", "V-18592/2020-101", "JC=770"),</v>
      </c>
      <c r="B103" t="s">
        <v>14</v>
      </c>
      <c r="C103" t="s">
        <v>26</v>
      </c>
      <c r="D103" t="s">
        <v>123</v>
      </c>
      <c r="E103">
        <v>33</v>
      </c>
      <c r="F103" t="s">
        <v>132</v>
      </c>
      <c r="G103" t="s">
        <v>135</v>
      </c>
      <c r="H103" t="str">
        <f>DataPozemky[[#This Row],[cislo_vkladu]]</f>
        <v>V-18592/2020-101</v>
      </c>
      <c r="I103" t="str">
        <f>_xlfn.CONCAT("JC=",ROUND(DataPozemky[[#This Row],[jednotkova_cena]],0))</f>
        <v>JC=770</v>
      </c>
      <c r="J103" t="s">
        <v>156</v>
      </c>
      <c r="K103" t="s">
        <v>213</v>
      </c>
      <c r="L103">
        <v>6250000</v>
      </c>
      <c r="M103">
        <v>8112</v>
      </c>
      <c r="N103">
        <v>10</v>
      </c>
      <c r="O103">
        <v>770.46351084812625</v>
      </c>
    </row>
    <row r="104" spans="1:15" x14ac:dyDescent="0.25">
      <c r="A104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"Ruzyně", "2888/10", "V-39541/2024-101", "JC=1719"),</v>
      </c>
      <c r="B104" t="s">
        <v>14</v>
      </c>
      <c r="C104" t="s">
        <v>17</v>
      </c>
      <c r="D104" t="s">
        <v>104</v>
      </c>
      <c r="E104">
        <v>39</v>
      </c>
      <c r="F104" t="s">
        <v>134</v>
      </c>
      <c r="G104" t="s">
        <v>135</v>
      </c>
      <c r="H104" t="str">
        <f>DataPozemky[[#This Row],[cislo_vkladu]]</f>
        <v>V-39541/2024-101</v>
      </c>
      <c r="I104" t="str">
        <f>_xlfn.CONCAT("JC=",ROUND(DataPozemky[[#This Row],[jednotkova_cena]],0))</f>
        <v>JC=1719</v>
      </c>
      <c r="J104" t="s">
        <v>165</v>
      </c>
      <c r="K104" t="s">
        <v>198</v>
      </c>
      <c r="L104">
        <v>30504120</v>
      </c>
      <c r="M104">
        <v>17746</v>
      </c>
      <c r="N104">
        <v>24</v>
      </c>
      <c r="O104">
        <v>1718.929336188437</v>
      </c>
    </row>
    <row r="105" spans="1:15" x14ac:dyDescent="0.25">
      <c r="A105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"Kyje", "2575/346", "V-53159/2024-101", "JC=3322"),</v>
      </c>
      <c r="B105" t="s">
        <v>14</v>
      </c>
      <c r="C105" t="s">
        <v>35</v>
      </c>
      <c r="D105" t="s">
        <v>124</v>
      </c>
      <c r="E105">
        <v>338</v>
      </c>
      <c r="F105" t="s">
        <v>132</v>
      </c>
      <c r="G105" t="s">
        <v>135</v>
      </c>
      <c r="H105" t="str">
        <f>DataPozemky[[#This Row],[cislo_vkladu]]</f>
        <v>V-53159/2024-101</v>
      </c>
      <c r="I105" t="str">
        <f>_xlfn.CONCAT("JC=",ROUND(DataPozemky[[#This Row],[jednotkova_cena]],0))</f>
        <v>JC=3322</v>
      </c>
      <c r="J105" t="s">
        <v>193</v>
      </c>
      <c r="K105" t="s">
        <v>257</v>
      </c>
      <c r="L105">
        <v>5000000</v>
      </c>
      <c r="M105">
        <v>1505</v>
      </c>
      <c r="N105">
        <v>5</v>
      </c>
      <c r="O105">
        <v>3322.259136212625</v>
      </c>
    </row>
    <row r="106" spans="1:15" x14ac:dyDescent="0.25">
      <c r="A106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"Smíchov", "5019/101", "V-5976/2024-101", "JC=2290"),</v>
      </c>
      <c r="B106" t="s">
        <v>14</v>
      </c>
      <c r="C106" t="s">
        <v>18</v>
      </c>
      <c r="D106" t="s">
        <v>125</v>
      </c>
      <c r="E106">
        <v>118</v>
      </c>
      <c r="F106" t="s">
        <v>133</v>
      </c>
      <c r="G106" t="s">
        <v>137</v>
      </c>
      <c r="H106" t="str">
        <f>DataPozemky[[#This Row],[cislo_vkladu]]</f>
        <v>V-5976/2024-101</v>
      </c>
      <c r="I106" t="str">
        <f>_xlfn.CONCAT("JC=",ROUND(DataPozemky[[#This Row],[jednotkova_cena]],0))</f>
        <v>JC=2290</v>
      </c>
      <c r="J106" t="s">
        <v>164</v>
      </c>
      <c r="K106" t="s">
        <v>223</v>
      </c>
      <c r="L106">
        <v>744250</v>
      </c>
      <c r="M106">
        <v>325</v>
      </c>
      <c r="N106">
        <v>3</v>
      </c>
      <c r="O106">
        <v>2290</v>
      </c>
    </row>
    <row r="107" spans="1:15" x14ac:dyDescent="0.25">
      <c r="A107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"4416/21", "V-63237/2023-101", "JC=1200"),</v>
      </c>
      <c r="B107" t="s">
        <v>14</v>
      </c>
      <c r="C107" t="s">
        <v>24</v>
      </c>
      <c r="D107" t="s">
        <v>126</v>
      </c>
      <c r="E107">
        <v>360</v>
      </c>
      <c r="F107" t="s">
        <v>132</v>
      </c>
      <c r="G107" t="s">
        <v>139</v>
      </c>
      <c r="H107" t="str">
        <f>DataPozemky[[#This Row],[cislo_vkladu]]</f>
        <v>V-63237/2023-101</v>
      </c>
      <c r="I107" t="str">
        <f>_xlfn.CONCAT("JC=",ROUND(DataPozemky[[#This Row],[jednotkova_cena]],0))</f>
        <v>JC=1200</v>
      </c>
      <c r="J107" t="s">
        <v>153</v>
      </c>
      <c r="K107" t="s">
        <v>258</v>
      </c>
      <c r="L107">
        <v>432000</v>
      </c>
      <c r="M107">
        <v>360</v>
      </c>
      <c r="N107">
        <v>1</v>
      </c>
      <c r="O107">
        <v>1200</v>
      </c>
    </row>
    <row r="108" spans="1:15" x14ac:dyDescent="0.25">
      <c r="A108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"Michle", "2808", "V-38700/2025-101", "JC=704"),</v>
      </c>
      <c r="B108" t="s">
        <v>14</v>
      </c>
      <c r="C108" t="s">
        <v>31</v>
      </c>
      <c r="D108" t="s">
        <v>127</v>
      </c>
      <c r="E108">
        <v>290</v>
      </c>
      <c r="F108" t="s">
        <v>132</v>
      </c>
      <c r="G108" t="s">
        <v>135</v>
      </c>
      <c r="H108" t="str">
        <f>DataPozemky[[#This Row],[cislo_vkladu]]</f>
        <v>V-38700/2025-101</v>
      </c>
      <c r="I108" t="str">
        <f>_xlfn.CONCAT("JC=",ROUND(DataPozemky[[#This Row],[jednotkova_cena]],0))</f>
        <v>JC=704</v>
      </c>
      <c r="J108" t="s">
        <v>194</v>
      </c>
      <c r="K108" t="s">
        <v>259</v>
      </c>
      <c r="L108">
        <v>600000</v>
      </c>
      <c r="M108">
        <v>852</v>
      </c>
      <c r="N108">
        <v>4</v>
      </c>
      <c r="O108">
        <v>704.22535211267609</v>
      </c>
    </row>
    <row r="109" spans="1:15" x14ac:dyDescent="0.25">
      <c r="A109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"Záběhlice", "5929/5", "V-44300/2024-101", "JC=667"),</v>
      </c>
      <c r="B109" t="s">
        <v>14</v>
      </c>
      <c r="C109" t="s">
        <v>23</v>
      </c>
      <c r="D109" t="s">
        <v>107</v>
      </c>
      <c r="E109">
        <v>265</v>
      </c>
      <c r="F109" t="s">
        <v>132</v>
      </c>
      <c r="G109" t="s">
        <v>137</v>
      </c>
      <c r="H109" t="str">
        <f>DataPozemky[[#This Row],[cislo_vkladu]]</f>
        <v>V-44300/2024-101</v>
      </c>
      <c r="I109" t="str">
        <f>_xlfn.CONCAT("JC=",ROUND(DataPozemky[[#This Row],[jednotkova_cena]],0))</f>
        <v>JC=667</v>
      </c>
      <c r="J109" t="s">
        <v>151</v>
      </c>
      <c r="K109" t="s">
        <v>207</v>
      </c>
      <c r="L109">
        <v>8573690</v>
      </c>
      <c r="M109">
        <v>12863</v>
      </c>
      <c r="N109">
        <v>40</v>
      </c>
      <c r="O109">
        <v>666.53891005208743</v>
      </c>
    </row>
    <row r="110" spans="1:15" x14ac:dyDescent="0.25">
      <c r="A110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"Horní Počernice", "4416/8", "V-63240/2023-101", "JC=1200"),</v>
      </c>
      <c r="B110" t="s">
        <v>14</v>
      </c>
      <c r="C110" t="s">
        <v>24</v>
      </c>
      <c r="D110" t="s">
        <v>128</v>
      </c>
      <c r="E110">
        <v>361</v>
      </c>
      <c r="F110" t="s">
        <v>132</v>
      </c>
      <c r="G110" t="s">
        <v>139</v>
      </c>
      <c r="H110" t="str">
        <f>DataPozemky[[#This Row],[cislo_vkladu]]</f>
        <v>V-63240/2023-101</v>
      </c>
      <c r="I110" t="str">
        <f>_xlfn.CONCAT("JC=",ROUND(DataPozemky[[#This Row],[jednotkova_cena]],0))</f>
        <v>JC=1200</v>
      </c>
      <c r="J110" t="s">
        <v>153</v>
      </c>
      <c r="K110" t="s">
        <v>260</v>
      </c>
      <c r="L110">
        <v>433200</v>
      </c>
      <c r="M110">
        <v>361</v>
      </c>
      <c r="N110">
        <v>1</v>
      </c>
      <c r="O110">
        <v>1200</v>
      </c>
    </row>
    <row r="111" spans="1:15" x14ac:dyDescent="0.25">
      <c r="A111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"Holešovice", "996/3", "V-1214/2024-101", "JC=3936"),</v>
      </c>
      <c r="B111" t="s">
        <v>14</v>
      </c>
      <c r="C111" t="s">
        <v>34</v>
      </c>
      <c r="D111" t="s">
        <v>129</v>
      </c>
      <c r="E111">
        <v>230</v>
      </c>
      <c r="F111" t="s">
        <v>132</v>
      </c>
      <c r="G111" t="s">
        <v>137</v>
      </c>
      <c r="H111" t="str">
        <f>DataPozemky[[#This Row],[cislo_vkladu]]</f>
        <v>V-1214/2024-101</v>
      </c>
      <c r="I111" t="str">
        <f>_xlfn.CONCAT("JC=",ROUND(DataPozemky[[#This Row],[jednotkova_cena]],0))</f>
        <v>JC=3936</v>
      </c>
      <c r="J111" t="s">
        <v>190</v>
      </c>
      <c r="K111" t="s">
        <v>254</v>
      </c>
      <c r="L111">
        <v>1657000</v>
      </c>
      <c r="M111">
        <v>421</v>
      </c>
      <c r="N111">
        <v>2</v>
      </c>
      <c r="O111">
        <v>3935.8669833729218</v>
      </c>
    </row>
    <row r="112" spans="1:15" x14ac:dyDescent="0.25">
      <c r="A112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"Stodůlky", "242/3", "V-7551/2024-101", "JC=5892"),</v>
      </c>
      <c r="B112" t="s">
        <v>14</v>
      </c>
      <c r="C112" t="s">
        <v>22</v>
      </c>
      <c r="D112" t="s">
        <v>130</v>
      </c>
      <c r="E112">
        <v>12</v>
      </c>
      <c r="F112" t="s">
        <v>132</v>
      </c>
      <c r="G112" t="s">
        <v>135</v>
      </c>
      <c r="H112" t="str">
        <f>DataPozemky[[#This Row],[cislo_vkladu]]</f>
        <v>V-7551/2024-101</v>
      </c>
      <c r="I112" t="str">
        <f>_xlfn.CONCAT("JC=",ROUND(DataPozemky[[#This Row],[jednotkova_cena]],0))</f>
        <v>JC=5892</v>
      </c>
      <c r="J112" t="s">
        <v>192</v>
      </c>
      <c r="K112" t="s">
        <v>256</v>
      </c>
      <c r="L112">
        <v>318150</v>
      </c>
      <c r="M112">
        <v>54</v>
      </c>
      <c r="N112">
        <v>2</v>
      </c>
      <c r="O112">
        <v>5891.666666666667</v>
      </c>
    </row>
    <row r="113" spans="1:15" x14ac:dyDescent="0.25">
      <c r="A113" t="str">
        <f>"("&amp;CHAR(34)&amp;DataPozemky[[#This Row],[okres]]&amp;CHAR(34)&amp;", "&amp;CHAR(34)&amp;DataPozemky[[#This Row],[kat_uzemi]]&amp;CHAR(34)&amp;", "&amp;CHAR(34)&amp;DataPozemky[[#This Row],[parcelni_cislo]]&amp;CHAR(34)&amp;", "&amp;CHAR(34)&amp;DataPozemky[[#This Row],[LV]]&amp;CHAR(34)&amp;", "&amp;CHAR(34)&amp;DataPozemky[[#This Row],[info_text]]&amp;CHAR(34)&amp;"),"</f>
        <v>("Hlavní město Praha", "Hostivař", "370/292", "V-8027/2025-101", "JC=2300"),</v>
      </c>
      <c r="B113" t="s">
        <v>14</v>
      </c>
      <c r="C113" t="s">
        <v>36</v>
      </c>
      <c r="D113" t="s">
        <v>131</v>
      </c>
      <c r="E113">
        <v>63</v>
      </c>
      <c r="F113" t="s">
        <v>134</v>
      </c>
      <c r="G113" t="s">
        <v>137</v>
      </c>
      <c r="H113" t="str">
        <f>DataPozemky[[#This Row],[cislo_vkladu]]</f>
        <v>V-8027/2025-101</v>
      </c>
      <c r="I113" t="str">
        <f>_xlfn.CONCAT("JC=",ROUND(DataPozemky[[#This Row],[jednotkova_cena]],0))</f>
        <v>JC=2300</v>
      </c>
      <c r="J113" t="s">
        <v>195</v>
      </c>
      <c r="K113" t="s">
        <v>261</v>
      </c>
      <c r="L113">
        <v>144900</v>
      </c>
      <c r="M113">
        <v>63</v>
      </c>
      <c r="N113">
        <v>1</v>
      </c>
      <c r="O113">
        <v>2300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Analyza_Pozemku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Trubač</cp:lastModifiedBy>
  <dcterms:created xsi:type="dcterms:W3CDTF">2026-10-12T16:25:26Z</dcterms:created>
  <dcterms:modified xsi:type="dcterms:W3CDTF">2026-10-13T07:48:52Z</dcterms:modified>
</cp:coreProperties>
</file>