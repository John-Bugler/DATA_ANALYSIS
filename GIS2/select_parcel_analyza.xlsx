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ATA_ANALYSIS\GIS2\"/>
    </mc:Choice>
  </mc:AlternateContent>
  <xr:revisionPtr revIDLastSave="0" documentId="13_ncr:1_{A79D7404-2A4F-46A0-882D-5E4F09984F84}" xr6:coauthVersionLast="47" xr6:coauthVersionMax="47" xr10:uidLastSave="{00000000-0000-0000-0000-000000000000}"/>
  <bookViews>
    <workbookView xWindow="8220" yWindow="3435" windowWidth="48600" windowHeight="21945" xr2:uid="{00000000-000D-0000-FFFF-FFFF00000000}"/>
  </bookViews>
  <sheets>
    <sheet name="Analyza_Pozemku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A35" i="1" s="1"/>
  <c r="H36" i="1"/>
  <c r="H37" i="1"/>
  <c r="H38" i="1"/>
  <c r="H39" i="1"/>
  <c r="H40" i="1"/>
  <c r="H41" i="1"/>
  <c r="H42" i="1"/>
  <c r="H43" i="1"/>
  <c r="H44" i="1"/>
  <c r="H45" i="1"/>
  <c r="H46" i="1"/>
  <c r="H47" i="1"/>
  <c r="A47" i="1" s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A61" i="1" s="1"/>
  <c r="H62" i="1"/>
  <c r="A62" i="1" s="1"/>
  <c r="H63" i="1"/>
  <c r="H64" i="1"/>
  <c r="H65" i="1"/>
  <c r="H66" i="1"/>
  <c r="H67" i="1"/>
  <c r="A67" i="1" s="1"/>
  <c r="H68" i="1"/>
  <c r="H69" i="1"/>
  <c r="H70" i="1"/>
  <c r="H71" i="1"/>
  <c r="H72" i="1"/>
  <c r="A72" i="1" s="1"/>
  <c r="H73" i="1"/>
  <c r="A73" i="1" s="1"/>
  <c r="H74" i="1"/>
  <c r="A74" i="1" s="1"/>
  <c r="H75" i="1"/>
  <c r="A75" i="1" s="1"/>
  <c r="H76" i="1"/>
  <c r="A76" i="1" s="1"/>
  <c r="H77" i="1"/>
  <c r="A77" i="1" s="1"/>
  <c r="H78" i="1"/>
  <c r="A78" i="1" s="1"/>
  <c r="H79" i="1"/>
  <c r="A79" i="1" s="1"/>
  <c r="H80" i="1"/>
  <c r="A80" i="1" s="1"/>
  <c r="H81" i="1"/>
  <c r="A81" i="1" s="1"/>
  <c r="H82" i="1"/>
  <c r="A82" i="1" s="1"/>
  <c r="H83" i="1"/>
  <c r="A83" i="1" s="1"/>
  <c r="H84" i="1"/>
  <c r="A84" i="1" s="1"/>
  <c r="H85" i="1"/>
  <c r="A85" i="1" s="1"/>
  <c r="H86" i="1"/>
  <c r="A86" i="1" s="1"/>
  <c r="H87" i="1"/>
  <c r="A87" i="1" s="1"/>
  <c r="H88" i="1"/>
  <c r="A88" i="1" s="1"/>
  <c r="H89" i="1"/>
  <c r="A89" i="1" s="1"/>
  <c r="H90" i="1"/>
  <c r="A90" i="1" s="1"/>
  <c r="H91" i="1"/>
  <c r="A91" i="1" s="1"/>
  <c r="H92" i="1"/>
  <c r="A92" i="1" s="1"/>
  <c r="H93" i="1"/>
  <c r="A93" i="1" s="1"/>
  <c r="H94" i="1"/>
  <c r="A94" i="1" s="1"/>
  <c r="H95" i="1"/>
  <c r="A95" i="1" s="1"/>
  <c r="H96" i="1"/>
  <c r="A96" i="1" s="1"/>
  <c r="H97" i="1"/>
  <c r="A97" i="1" s="1"/>
  <c r="H98" i="1"/>
  <c r="A98" i="1" s="1"/>
  <c r="H99" i="1"/>
  <c r="A99" i="1" s="1"/>
  <c r="H100" i="1"/>
  <c r="A100" i="1" s="1"/>
  <c r="H101" i="1"/>
  <c r="A101" i="1" s="1"/>
  <c r="H102" i="1"/>
  <c r="A102" i="1" s="1"/>
  <c r="H103" i="1"/>
  <c r="A103" i="1" s="1"/>
  <c r="H104" i="1"/>
  <c r="A104" i="1" s="1"/>
  <c r="H105" i="1"/>
  <c r="A105" i="1" s="1"/>
  <c r="H106" i="1"/>
  <c r="A106" i="1" s="1"/>
  <c r="H107" i="1"/>
  <c r="A107" i="1" s="1"/>
  <c r="H108" i="1"/>
  <c r="A108" i="1" s="1"/>
  <c r="H109" i="1"/>
  <c r="A109" i="1" s="1"/>
  <c r="H110" i="1"/>
  <c r="A110" i="1" s="1"/>
  <c r="H111" i="1"/>
  <c r="A111" i="1" s="1"/>
  <c r="H112" i="1"/>
  <c r="A112" i="1" s="1"/>
  <c r="H113" i="1"/>
  <c r="A113" i="1" s="1"/>
  <c r="H114" i="1"/>
  <c r="A114" i="1" s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A71" i="1"/>
  <c r="A70" i="1"/>
  <c r="A69" i="1"/>
  <c r="A68" i="1"/>
  <c r="A66" i="1"/>
  <c r="A65" i="1"/>
  <c r="A64" i="1"/>
  <c r="A63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6" i="1"/>
  <c r="A45" i="1"/>
  <c r="A44" i="1"/>
  <c r="A43" i="1"/>
  <c r="A42" i="1"/>
  <c r="A41" i="1"/>
  <c r="A40" i="1"/>
  <c r="A39" i="1"/>
  <c r="A38" i="1"/>
  <c r="A37" i="1"/>
  <c r="A36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5" i="1"/>
  <c r="A3" i="1"/>
  <c r="A2" i="1"/>
  <c r="A4" i="1" l="1"/>
  <c r="A6" i="1"/>
  <c r="A7" i="1"/>
</calcChain>
</file>

<file path=xl/sharedStrings.xml><?xml version="1.0" encoding="utf-8"?>
<sst xmlns="http://schemas.openxmlformats.org/spreadsheetml/2006/main" count="692" uniqueCount="237">
  <si>
    <t>okres</t>
  </si>
  <si>
    <t>kat_uzemi</t>
  </si>
  <si>
    <t>parcelni_cislo</t>
  </si>
  <si>
    <t>vymera</t>
  </si>
  <si>
    <t>uzemni_plan</t>
  </si>
  <si>
    <t>LV</t>
  </si>
  <si>
    <t>info_text</t>
  </si>
  <si>
    <t>datum_podani</t>
  </si>
  <si>
    <t>cislo_vkladu</t>
  </si>
  <si>
    <t>cenovy_udaj</t>
  </si>
  <si>
    <t>celkova_vymera_vkladu</t>
  </si>
  <si>
    <t>pocet_parcel_ve_vkladu</t>
  </si>
  <si>
    <t>jednotkova_cena</t>
  </si>
  <si>
    <t>Hlavní město Praha</t>
  </si>
  <si>
    <t>Chodov</t>
  </si>
  <si>
    <t>Braník</t>
  </si>
  <si>
    <t>Kunratice</t>
  </si>
  <si>
    <t>Krč</t>
  </si>
  <si>
    <t>Modřany</t>
  </si>
  <si>
    <t>Háje</t>
  </si>
  <si>
    <t>Záběhlice</t>
  </si>
  <si>
    <t>3481/1</t>
  </si>
  <si>
    <t>2808/4</t>
  </si>
  <si>
    <t>1868/11</t>
  </si>
  <si>
    <t>2366/41</t>
  </si>
  <si>
    <t>3354/4</t>
  </si>
  <si>
    <t>1433/10</t>
  </si>
  <si>
    <t>3733/8</t>
  </si>
  <si>
    <t>584/16</t>
  </si>
  <si>
    <t>1433/11</t>
  </si>
  <si>
    <t>2373/23</t>
  </si>
  <si>
    <t>4626/90</t>
  </si>
  <si>
    <t>3425</t>
  </si>
  <si>
    <t>1433/13</t>
  </si>
  <si>
    <t>2375/7</t>
  </si>
  <si>
    <t>2209/17</t>
  </si>
  <si>
    <t>537/89</t>
  </si>
  <si>
    <t>2110/38</t>
  </si>
  <si>
    <t>3218/5</t>
  </si>
  <si>
    <t>2352/22</t>
  </si>
  <si>
    <t>826/4</t>
  </si>
  <si>
    <t>3481/19</t>
  </si>
  <si>
    <t>3100/2</t>
  </si>
  <si>
    <t>3851/4</t>
  </si>
  <si>
    <t>3482/1</t>
  </si>
  <si>
    <t>3414</t>
  </si>
  <si>
    <t>2031/6</t>
  </si>
  <si>
    <t>3503/57</t>
  </si>
  <si>
    <t>2220/3</t>
  </si>
  <si>
    <t>2472/11</t>
  </si>
  <si>
    <t>4753/47</t>
  </si>
  <si>
    <t>2848/602</t>
  </si>
  <si>
    <t>2365/7</t>
  </si>
  <si>
    <t>19</t>
  </si>
  <si>
    <t>2062</t>
  </si>
  <si>
    <t>2365/8</t>
  </si>
  <si>
    <t>397/919</t>
  </si>
  <si>
    <t>2641/1</t>
  </si>
  <si>
    <t>4481/9</t>
  </si>
  <si>
    <t>2352/32</t>
  </si>
  <si>
    <t>2698/1</t>
  </si>
  <si>
    <t>2352/21</t>
  </si>
  <si>
    <t>2704/85</t>
  </si>
  <si>
    <t>1867/13</t>
  </si>
  <si>
    <t>584/12</t>
  </si>
  <si>
    <t>2110/9</t>
  </si>
  <si>
    <t>2058/4</t>
  </si>
  <si>
    <t>2063/9</t>
  </si>
  <si>
    <t>397/915</t>
  </si>
  <si>
    <t>397/918</t>
  </si>
  <si>
    <t>397/914</t>
  </si>
  <si>
    <t>397/917</t>
  </si>
  <si>
    <t>397/916</t>
  </si>
  <si>
    <t>397/920</t>
  </si>
  <si>
    <t>2643/9</t>
  </si>
  <si>
    <t>5929/5</t>
  </si>
  <si>
    <t>5928/7</t>
  </si>
  <si>
    <t>5928/6</t>
  </si>
  <si>
    <t>5849/3</t>
  </si>
  <si>
    <t>2650/4</t>
  </si>
  <si>
    <t>3115/15</t>
  </si>
  <si>
    <t>242/1</t>
  </si>
  <si>
    <t>2352/28</t>
  </si>
  <si>
    <t>2350/9</t>
  </si>
  <si>
    <t>2352/34</t>
  </si>
  <si>
    <t>2352/5</t>
  </si>
  <si>
    <t>2352/33</t>
  </si>
  <si>
    <t>2350/7</t>
  </si>
  <si>
    <t>1477/4</t>
  </si>
  <si>
    <t>1470/176</t>
  </si>
  <si>
    <t>1478/11</t>
  </si>
  <si>
    <t>2110/8</t>
  </si>
  <si>
    <t>2349/15</t>
  </si>
  <si>
    <t>2372/34</t>
  </si>
  <si>
    <t>5932/3</t>
  </si>
  <si>
    <t>2372/31</t>
  </si>
  <si>
    <t>147</t>
  </si>
  <si>
    <t>576/53</t>
  </si>
  <si>
    <t>584/18</t>
  </si>
  <si>
    <t>584/15</t>
  </si>
  <si>
    <t>576/54</t>
  </si>
  <si>
    <t>576/52</t>
  </si>
  <si>
    <t>2216/2</t>
  </si>
  <si>
    <t>2352/20</t>
  </si>
  <si>
    <t>2352/12</t>
  </si>
  <si>
    <t>2352/11</t>
  </si>
  <si>
    <t>2352/10</t>
  </si>
  <si>
    <t>2352/4</t>
  </si>
  <si>
    <t>1480/3</t>
  </si>
  <si>
    <t>2352/2</t>
  </si>
  <si>
    <t>1481/1</t>
  </si>
  <si>
    <t>1480/4</t>
  </si>
  <si>
    <t>2352/31</t>
  </si>
  <si>
    <t>2352/30</t>
  </si>
  <si>
    <t>3851/3</t>
  </si>
  <si>
    <t>2332/45</t>
  </si>
  <si>
    <t>2332/44</t>
  </si>
  <si>
    <t>2220/2</t>
  </si>
  <si>
    <t>2220/1</t>
  </si>
  <si>
    <t>2848/603</t>
  </si>
  <si>
    <t>NL</t>
  </si>
  <si>
    <t>ZMK</t>
  </si>
  <si>
    <t>LR</t>
  </si>
  <si>
    <t>PS</t>
  </si>
  <si>
    <t>S4</t>
  </si>
  <si>
    <t>IZ</t>
  </si>
  <si>
    <t>ZP</t>
  </si>
  <si>
    <t>2025-08-18 15:28:46</t>
  </si>
  <si>
    <t>2024-11-05 15:37:08</t>
  </si>
  <si>
    <t>2026-05-15 09:27:49</t>
  </si>
  <si>
    <t>2025-10-07 09:12:11</t>
  </si>
  <si>
    <t>2026-05-15 11:10:41</t>
  </si>
  <si>
    <t>2025-08-01 11:32:32</t>
  </si>
  <si>
    <t>2024-01-05 08:12:56</t>
  </si>
  <si>
    <t>2025-06-02 16:10:34</t>
  </si>
  <si>
    <t>2025-08-01 11:34:44</t>
  </si>
  <si>
    <t>2024-04-23 11:43:22</t>
  </si>
  <si>
    <t>2025-05-27 08:02:21</t>
  </si>
  <si>
    <t>2024-03-21 13:20:55</t>
  </si>
  <si>
    <t>2023-08-09 14:58:30</t>
  </si>
  <si>
    <t>2024-10-04 11:46:24</t>
  </si>
  <si>
    <t>2024-09-09 09:45:00</t>
  </si>
  <si>
    <t>2023-12-06 22:00:09</t>
  </si>
  <si>
    <t>2023-09-08 11:35:19</t>
  </si>
  <si>
    <t>2025-02-26 14:49:51</t>
  </si>
  <si>
    <t>2025-04-23 08:01:10</t>
  </si>
  <si>
    <t>2024-01-03 15:16:33</t>
  </si>
  <si>
    <t>2023-09-08 10:06:07</t>
  </si>
  <si>
    <t>2026-01-26 07:56:22</t>
  </si>
  <si>
    <t>2025-08-04 16:31:53</t>
  </si>
  <si>
    <t>2025-12-29 12:13:04</t>
  </si>
  <si>
    <t>2025-05-07 13:38:38</t>
  </si>
  <si>
    <t>2024-03-21 13:18:28</t>
  </si>
  <si>
    <t>2024-06-06 12:24:38</t>
  </si>
  <si>
    <t>2025-02-10 09:57:35</t>
  </si>
  <si>
    <t>2025-04-03 10:55:06</t>
  </si>
  <si>
    <t>2024-07-10 09:45:00</t>
  </si>
  <si>
    <t>2024-12-09 16:22:04</t>
  </si>
  <si>
    <t>2025-07-21 09:45:00</t>
  </si>
  <si>
    <t>2026-04-29 11:56:42</t>
  </si>
  <si>
    <t>2025-12-19 19:07:47</t>
  </si>
  <si>
    <t>2024-07-01 13:09:11</t>
  </si>
  <si>
    <t>2026-03-23 12:19:58</t>
  </si>
  <si>
    <t>2025-05-19 11:14:25</t>
  </si>
  <si>
    <t>2025-10-07 09:53:20</t>
  </si>
  <si>
    <t>2026-11-02 16:36:12</t>
  </si>
  <si>
    <t>2024-07-31 13:03:10</t>
  </si>
  <si>
    <t>2025-02-11 13:30:00</t>
  </si>
  <si>
    <t>2025-08-01 11:30:09</t>
  </si>
  <si>
    <t>2023-07-17 10:45:54</t>
  </si>
  <si>
    <t>2024-10-30 12:05:05</t>
  </si>
  <si>
    <t>2024-12-18 09:23:29</t>
  </si>
  <si>
    <t>2025-03-07 10:28:18</t>
  </si>
  <si>
    <t>2024-01-05 10:45:09</t>
  </si>
  <si>
    <t>2024-06-17 11:08:46</t>
  </si>
  <si>
    <t>2025-07-30 10:21:33</t>
  </si>
  <si>
    <t>2025-04-11 09:45:00</t>
  </si>
  <si>
    <t>2025-11-21 10:08:03</t>
  </si>
  <si>
    <t>2024-06-04 08:41:22</t>
  </si>
  <si>
    <t>2025-03-28 11:50:59</t>
  </si>
  <si>
    <t>2024-08-14 07:59:38</t>
  </si>
  <si>
    <t>V-52735/2025-101</t>
  </si>
  <si>
    <t>V-65162/2024-101</t>
  </si>
  <si>
    <t>V-33236/2026-101</t>
  </si>
  <si>
    <t>V-64040/2025-101</t>
  </si>
  <si>
    <t>V-33362/2026-101</t>
  </si>
  <si>
    <t>V-49249/2025-101</t>
  </si>
  <si>
    <t>V-623/2024-101</t>
  </si>
  <si>
    <t>V-34858/2025-101</t>
  </si>
  <si>
    <t>V-49250/2025-101</t>
  </si>
  <si>
    <t>V-23453/2024-101</t>
  </si>
  <si>
    <t>V-32848/2025-101</t>
  </si>
  <si>
    <t>V-16582/2024-101</t>
  </si>
  <si>
    <t>V-42230/2023-101</t>
  </si>
  <si>
    <t>V-57996/2024-101</t>
  </si>
  <si>
    <t>V-52059/2024-101</t>
  </si>
  <si>
    <t>V-66083/2023-101</t>
  </si>
  <si>
    <t>V-47590/2023-101</t>
  </si>
  <si>
    <t>V-12350/2025-101</t>
  </si>
  <si>
    <t>V-25140/2025-101</t>
  </si>
  <si>
    <t>V-345/2024-101</t>
  </si>
  <si>
    <t>V-47528/2023-101</t>
  </si>
  <si>
    <t>V-4934/2026-101</t>
  </si>
  <si>
    <t>V-49813/2025-101</t>
  </si>
  <si>
    <t>V-83791/2025-101</t>
  </si>
  <si>
    <t>V-28775/2025-101</t>
  </si>
  <si>
    <t>V-16580/2024-101</t>
  </si>
  <si>
    <t>V-32912/2024-101</t>
  </si>
  <si>
    <t>V-8162/2025-101</t>
  </si>
  <si>
    <t>V-20993/2025-101</t>
  </si>
  <si>
    <t>V-40089/2024-101</t>
  </si>
  <si>
    <t>V-73994/2024-101</t>
  </si>
  <si>
    <t>V-46260/2025-101</t>
  </si>
  <si>
    <t>V-29539/2026-101</t>
  </si>
  <si>
    <t>V-82962/2025-101</t>
  </si>
  <si>
    <t>V-38321/2024-101</t>
  </si>
  <si>
    <t>V-19398/2026-101</t>
  </si>
  <si>
    <t>V-31029/2025-101</t>
  </si>
  <si>
    <t>V-64064/2025-101</t>
  </si>
  <si>
    <t>V-9597/2026-101</t>
  </si>
  <si>
    <t>V-44300/2024-101</t>
  </si>
  <si>
    <t>V-38324/2024-101</t>
  </si>
  <si>
    <t>V-8859/2025-101</t>
  </si>
  <si>
    <t>V-49247/2025-101</t>
  </si>
  <si>
    <t>V-37658/2023-101</t>
  </si>
  <si>
    <t>V-63497/2024-101</t>
  </si>
  <si>
    <t>V-76318/2024-101</t>
  </si>
  <si>
    <t>V-14297/2025-101</t>
  </si>
  <si>
    <t>V-717/2024-101</t>
  </si>
  <si>
    <t>V-34918/2024-101</t>
  </si>
  <si>
    <t>V-48493/2025-101</t>
  </si>
  <si>
    <t>V-23035/2025-101</t>
  </si>
  <si>
    <t>V-74904/2025-101</t>
  </si>
  <si>
    <t>V-32174/2024-101</t>
  </si>
  <si>
    <t>V-19568/2025-101</t>
  </si>
  <si>
    <t>V-46828/2024-101</t>
  </si>
  <si>
    <t>python_tuple_format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</si>
</sst>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ální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Pozemky" displayName="DataPozemky" ref="A1:N114" totalsRowShown="0">
  <autoFilter ref="A1:N114" xr:uid="{00000000-0009-0000-0100-000001000000}"/>
  <tableColumns count="14">
    <tableColumn id="1" xr3:uid="{00000000-0010-0000-0000-000001000000}" name="python_tuple_format">
      <calculatedColumnFormula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calculatedColumnFormula>
    </tableColumn>
    <tableColumn id="2" xr3:uid="{00000000-0010-0000-0000-000002000000}" name="okres"/>
    <tableColumn id="3" xr3:uid="{00000000-0010-0000-0000-000003000000}" name="kat_uzemi"/>
    <tableColumn id="4" xr3:uid="{00000000-0010-0000-0000-000004000000}" name="parcelni_cislo"/>
    <tableColumn id="5" xr3:uid="{00000000-0010-0000-0000-000005000000}" name="vymera"/>
    <tableColumn id="6" xr3:uid="{00000000-0010-0000-0000-000006000000}" name="uzemni_plan"/>
    <tableColumn id="7" xr3:uid="{00000000-0010-0000-0000-000007000000}" name="LV" dataDxfId="1">
      <calculatedColumnFormula>DataPozemky[[#This Row],[cislo_vkladu]]</calculatedColumnFormula>
    </tableColumn>
    <tableColumn id="8" xr3:uid="{00000000-0010-0000-0000-000008000000}" name="info_text" dataDxfId="0">
      <calculatedColumnFormula>_xlfn.CONCAT("JC = ",ROUND(DataPozemky[[#This Row],[jednotkova_cena]],0))</calculatedColumnFormula>
    </tableColumn>
    <tableColumn id="9" xr3:uid="{00000000-0010-0000-0000-000009000000}" name="datum_podani"/>
    <tableColumn id="10" xr3:uid="{00000000-0010-0000-0000-00000A000000}" name="cislo_vkladu"/>
    <tableColumn id="11" xr3:uid="{00000000-0010-0000-0000-00000B000000}" name="cenovy_udaj"/>
    <tableColumn id="12" xr3:uid="{00000000-0010-0000-0000-00000C000000}" name="celkova_vymera_vkladu"/>
    <tableColumn id="13" xr3:uid="{00000000-0010-0000-0000-00000D000000}" name="pocet_parcel_ve_vkladu"/>
    <tableColumn id="14" xr3:uid="{00000000-0010-0000-0000-00000E000000}" name="jednotkova_ce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14"/>
  <sheetViews>
    <sheetView tabSelected="1" workbookViewId="0">
      <selection activeCell="H3" sqref="H3"/>
    </sheetView>
  </sheetViews>
  <sheetFormatPr defaultRowHeight="15" x14ac:dyDescent="0.25"/>
  <cols>
    <col min="1" max="1" width="60.7109375" customWidth="1"/>
    <col min="2" max="7" width="15.7109375" customWidth="1"/>
    <col min="8" max="9" width="20.7109375" customWidth="1"/>
    <col min="10" max="14" width="15.7109375" customWidth="1"/>
  </cols>
  <sheetData>
    <row r="1" spans="1:14" x14ac:dyDescent="0.25">
      <c r="A1" t="s">
        <v>236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</row>
    <row r="2" spans="1:14" x14ac:dyDescent="0.25">
      <c r="A2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"Chodov", "3481/1", "V-52735/2025-101", "JC = 2808"),</v>
      </c>
      <c r="B2" t="s">
        <v>13</v>
      </c>
      <c r="C2" t="s">
        <v>14</v>
      </c>
      <c r="D2" t="s">
        <v>21</v>
      </c>
      <c r="E2">
        <v>26034</v>
      </c>
      <c r="F2" t="s">
        <v>120</v>
      </c>
      <c r="G2" t="str">
        <f>DataPozemky[[#This Row],[cislo_vkladu]]</f>
        <v>V-52735/2025-101</v>
      </c>
      <c r="H2" t="str">
        <f>_xlfn.CONCAT("JC = ",ROUND(DataPozemky[[#This Row],[jednotkova_cena]],0))</f>
        <v>JC = 2808</v>
      </c>
      <c r="I2" t="s">
        <v>127</v>
      </c>
      <c r="J2" t="s">
        <v>181</v>
      </c>
      <c r="K2">
        <v>82000000</v>
      </c>
      <c r="L2">
        <v>29204</v>
      </c>
      <c r="M2">
        <v>2</v>
      </c>
      <c r="N2">
        <v>2807.8345432132578</v>
      </c>
    </row>
    <row r="3" spans="1:14" x14ac:dyDescent="0.25">
      <c r="A3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"Braník", "2808/4", "V-65162/2024-101", "JC = 2193"),</v>
      </c>
      <c r="B3" t="s">
        <v>13</v>
      </c>
      <c r="C3" t="s">
        <v>15</v>
      </c>
      <c r="D3" t="s">
        <v>22</v>
      </c>
      <c r="E3">
        <v>2736</v>
      </c>
      <c r="F3" t="s">
        <v>121</v>
      </c>
      <c r="G3" t="str">
        <f>DataPozemky[[#This Row],[cislo_vkladu]]</f>
        <v>V-65162/2024-101</v>
      </c>
      <c r="H3" t="str">
        <f>_xlfn.CONCAT("JC = ",ROUND(DataPozemky[[#This Row],[jednotkova_cena]],0))</f>
        <v>JC = 2193</v>
      </c>
      <c r="I3" t="s">
        <v>128</v>
      </c>
      <c r="J3" t="s">
        <v>182</v>
      </c>
      <c r="K3">
        <v>6000000</v>
      </c>
      <c r="L3">
        <v>2736</v>
      </c>
      <c r="M3">
        <v>1</v>
      </c>
      <c r="N3">
        <v>2192.9824561403511</v>
      </c>
    </row>
    <row r="4" spans="1:14" x14ac:dyDescent="0.25">
      <c r="A4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"1868/11", "V-33236/2026-101", "JC = 1000"),</v>
      </c>
      <c r="B4" t="s">
        <v>13</v>
      </c>
      <c r="C4" t="s">
        <v>16</v>
      </c>
      <c r="D4" t="s">
        <v>23</v>
      </c>
      <c r="E4">
        <v>10129</v>
      </c>
      <c r="F4" t="s">
        <v>122</v>
      </c>
      <c r="G4" t="str">
        <f>DataPozemky[[#This Row],[cislo_vkladu]]</f>
        <v>V-33236/2026-101</v>
      </c>
      <c r="H4" t="str">
        <f>_xlfn.CONCAT("JC = ",ROUND(DataPozemky[[#This Row],[jednotkova_cena]],0))</f>
        <v>JC = 1000</v>
      </c>
      <c r="I4" t="s">
        <v>129</v>
      </c>
      <c r="J4" t="s">
        <v>183</v>
      </c>
      <c r="K4">
        <v>10129000</v>
      </c>
      <c r="L4">
        <v>10129</v>
      </c>
      <c r="M4">
        <v>1</v>
      </c>
      <c r="N4">
        <v>1000</v>
      </c>
    </row>
    <row r="5" spans="1:14" x14ac:dyDescent="0.25">
      <c r="A5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"2366/41", "V-64040/2025-101", "JC = 2250"),</v>
      </c>
      <c r="B5" t="s">
        <v>13</v>
      </c>
      <c r="C5" t="s">
        <v>16</v>
      </c>
      <c r="D5" t="s">
        <v>24</v>
      </c>
      <c r="E5">
        <v>9688</v>
      </c>
      <c r="F5" t="s">
        <v>123</v>
      </c>
      <c r="G5" t="str">
        <f>DataPozemky[[#This Row],[cislo_vkladu]]</f>
        <v>V-64040/2025-101</v>
      </c>
      <c r="H5" t="str">
        <f>_xlfn.CONCAT("JC = ",ROUND(DataPozemky[[#This Row],[jednotkova_cena]],0))</f>
        <v>JC = 2250</v>
      </c>
      <c r="I5" t="s">
        <v>130</v>
      </c>
      <c r="J5" t="s">
        <v>184</v>
      </c>
      <c r="K5">
        <v>21798000</v>
      </c>
      <c r="L5">
        <v>9688</v>
      </c>
      <c r="M5">
        <v>1</v>
      </c>
      <c r="N5">
        <v>2250</v>
      </c>
    </row>
    <row r="6" spans="1:14" x14ac:dyDescent="0.25">
      <c r="A6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"Krč", "3354/4", "V-33362/2026-101", "JC = 588"),</v>
      </c>
      <c r="B6" t="s">
        <v>13</v>
      </c>
      <c r="C6" t="s">
        <v>17</v>
      </c>
      <c r="D6" t="s">
        <v>25</v>
      </c>
      <c r="E6">
        <v>1687</v>
      </c>
      <c r="F6" t="s">
        <v>124</v>
      </c>
      <c r="G6" t="str">
        <f>DataPozemky[[#This Row],[cislo_vkladu]]</f>
        <v>V-33362/2026-101</v>
      </c>
      <c r="H6" t="str">
        <f>_xlfn.CONCAT("JC = ",ROUND(DataPozemky[[#This Row],[jednotkova_cena]],0))</f>
        <v>JC = 588</v>
      </c>
      <c r="I6" t="s">
        <v>131</v>
      </c>
      <c r="J6" t="s">
        <v>185</v>
      </c>
      <c r="K6">
        <v>17548625</v>
      </c>
      <c r="L6">
        <v>29870</v>
      </c>
      <c r="M6">
        <v>6</v>
      </c>
      <c r="N6">
        <v>587.5</v>
      </c>
    </row>
    <row r="7" spans="1:14" x14ac:dyDescent="0.25">
      <c r="A7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"1433/10", "V-49249/2025-101", "JC = 9722"),</v>
      </c>
      <c r="B7" t="s">
        <v>13</v>
      </c>
      <c r="C7" t="s">
        <v>16</v>
      </c>
      <c r="D7" t="s">
        <v>26</v>
      </c>
      <c r="E7">
        <v>1800</v>
      </c>
      <c r="F7" t="s">
        <v>121</v>
      </c>
      <c r="G7" t="str">
        <f>DataPozemky[[#This Row],[cislo_vkladu]]</f>
        <v>V-49249/2025-101</v>
      </c>
      <c r="H7" t="str">
        <f>_xlfn.CONCAT("JC = ",ROUND(DataPozemky[[#This Row],[jednotkova_cena]],0))</f>
        <v>JC = 9722</v>
      </c>
      <c r="I7" t="s">
        <v>132</v>
      </c>
      <c r="J7" t="s">
        <v>186</v>
      </c>
      <c r="K7">
        <v>17500000</v>
      </c>
      <c r="L7">
        <v>1800</v>
      </c>
      <c r="M7">
        <v>1</v>
      </c>
      <c r="N7">
        <v>9722.2222222222226</v>
      </c>
    </row>
    <row r="8" spans="1:14" x14ac:dyDescent="0.25">
      <c r="A8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"Modřany", "3733/8", "V-623/2024-101", "JC = 5093"),</v>
      </c>
      <c r="B8" t="s">
        <v>13</v>
      </c>
      <c r="C8" t="s">
        <v>18</v>
      </c>
      <c r="D8" t="s">
        <v>27</v>
      </c>
      <c r="E8">
        <v>27</v>
      </c>
      <c r="F8" t="s">
        <v>122</v>
      </c>
      <c r="G8" t="str">
        <f>DataPozemky[[#This Row],[cislo_vkladu]]</f>
        <v>V-623/2024-101</v>
      </c>
      <c r="H8" t="str">
        <f>_xlfn.CONCAT("JC = ",ROUND(DataPozemky[[#This Row],[jednotkova_cena]],0))</f>
        <v>JC = 5093</v>
      </c>
      <c r="I8" t="s">
        <v>133</v>
      </c>
      <c r="J8" t="s">
        <v>187</v>
      </c>
      <c r="K8">
        <v>137500</v>
      </c>
      <c r="L8">
        <v>27</v>
      </c>
      <c r="M8">
        <v>1</v>
      </c>
      <c r="N8">
        <v>5092.5925925925922</v>
      </c>
    </row>
    <row r="9" spans="1:14" x14ac:dyDescent="0.25">
      <c r="A9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"Háje", "584/16", "V-34858/2025-101", "JC = 300"),</v>
      </c>
      <c r="B9" t="s">
        <v>13</v>
      </c>
      <c r="C9" t="s">
        <v>19</v>
      </c>
      <c r="D9" t="s">
        <v>28</v>
      </c>
      <c r="E9">
        <v>274</v>
      </c>
      <c r="F9" t="s">
        <v>121</v>
      </c>
      <c r="G9" t="str">
        <f>DataPozemky[[#This Row],[cislo_vkladu]]</f>
        <v>V-34858/2025-101</v>
      </c>
      <c r="H9" t="str">
        <f>_xlfn.CONCAT("JC = ",ROUND(DataPozemky[[#This Row],[jednotkova_cena]],0))</f>
        <v>JC = 300</v>
      </c>
      <c r="I9" t="s">
        <v>134</v>
      </c>
      <c r="J9" t="s">
        <v>188</v>
      </c>
      <c r="K9">
        <v>172500</v>
      </c>
      <c r="L9">
        <v>575</v>
      </c>
      <c r="M9">
        <v>7</v>
      </c>
      <c r="N9">
        <v>300</v>
      </c>
    </row>
    <row r="10" spans="1:14" x14ac:dyDescent="0.25">
      <c r="A10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"1433/11", "V-49250/2025-101", "JC = 13069"),</v>
      </c>
      <c r="B10" t="s">
        <v>13</v>
      </c>
      <c r="C10" t="s">
        <v>16</v>
      </c>
      <c r="D10" t="s">
        <v>29</v>
      </c>
      <c r="E10">
        <v>1339</v>
      </c>
      <c r="F10" t="s">
        <v>121</v>
      </c>
      <c r="G10" t="str">
        <f>DataPozemky[[#This Row],[cislo_vkladu]]</f>
        <v>V-49250/2025-101</v>
      </c>
      <c r="H10" t="str">
        <f>_xlfn.CONCAT("JC = ",ROUND(DataPozemky[[#This Row],[jednotkova_cena]],0))</f>
        <v>JC = 13069</v>
      </c>
      <c r="I10" t="s">
        <v>135</v>
      </c>
      <c r="J10" t="s">
        <v>189</v>
      </c>
      <c r="K10">
        <v>17500000</v>
      </c>
      <c r="L10">
        <v>1339</v>
      </c>
      <c r="M10">
        <v>1</v>
      </c>
      <c r="N10">
        <v>13069.45481702763</v>
      </c>
    </row>
    <row r="11" spans="1:14" x14ac:dyDescent="0.25">
      <c r="A11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"2373/23", "V-23453/2024-101", "JC = 193"),</v>
      </c>
      <c r="B11" t="s">
        <v>13</v>
      </c>
      <c r="C11" t="s">
        <v>16</v>
      </c>
      <c r="D11" t="s">
        <v>30</v>
      </c>
      <c r="E11">
        <v>4140</v>
      </c>
      <c r="F11" t="s">
        <v>121</v>
      </c>
      <c r="G11" t="str">
        <f>DataPozemky[[#This Row],[cislo_vkladu]]</f>
        <v>V-23453/2024-101</v>
      </c>
      <c r="H11" t="str">
        <f>_xlfn.CONCAT("JC = ",ROUND(DataPozemky[[#This Row],[jednotkova_cena]],0))</f>
        <v>JC = 193</v>
      </c>
      <c r="I11" t="s">
        <v>136</v>
      </c>
      <c r="J11" t="s">
        <v>190</v>
      </c>
      <c r="K11">
        <v>800000</v>
      </c>
      <c r="L11">
        <v>4140</v>
      </c>
      <c r="M11">
        <v>1</v>
      </c>
      <c r="N11">
        <v>193.23671497584539</v>
      </c>
    </row>
    <row r="12" spans="1:14" x14ac:dyDescent="0.25">
      <c r="A12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"Modřany", "4626/90", "V-32848/2025-101", "JC = 815"),</v>
      </c>
      <c r="B12" t="s">
        <v>13</v>
      </c>
      <c r="C12" t="s">
        <v>18</v>
      </c>
      <c r="D12" t="s">
        <v>31</v>
      </c>
      <c r="E12">
        <v>368</v>
      </c>
      <c r="F12" t="s">
        <v>121</v>
      </c>
      <c r="G12" t="str">
        <f>DataPozemky[[#This Row],[cislo_vkladu]]</f>
        <v>V-32848/2025-101</v>
      </c>
      <c r="H12" t="str">
        <f>_xlfn.CONCAT("JC = ",ROUND(DataPozemky[[#This Row],[jednotkova_cena]],0))</f>
        <v>JC = 815</v>
      </c>
      <c r="I12" t="s">
        <v>137</v>
      </c>
      <c r="J12" t="s">
        <v>191</v>
      </c>
      <c r="K12">
        <v>300000</v>
      </c>
      <c r="L12">
        <v>368</v>
      </c>
      <c r="M12">
        <v>1</v>
      </c>
      <c r="N12">
        <v>815.21739130434787</v>
      </c>
    </row>
    <row r="13" spans="1:14" x14ac:dyDescent="0.25">
      <c r="A13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"Chodov", "3425", "V-16582/2024-101", "JC = 1220"),</v>
      </c>
      <c r="B13" t="s">
        <v>13</v>
      </c>
      <c r="C13" t="s">
        <v>14</v>
      </c>
      <c r="D13" t="s">
        <v>32</v>
      </c>
      <c r="E13">
        <v>45</v>
      </c>
      <c r="F13" t="s">
        <v>125</v>
      </c>
      <c r="G13" t="str">
        <f>DataPozemky[[#This Row],[cislo_vkladu]]</f>
        <v>V-16582/2024-101</v>
      </c>
      <c r="H13" t="str">
        <f>_xlfn.CONCAT("JC = ",ROUND(DataPozemky[[#This Row],[jednotkova_cena]],0))</f>
        <v>JC = 1220</v>
      </c>
      <c r="I13" t="s">
        <v>138</v>
      </c>
      <c r="J13" t="s">
        <v>192</v>
      </c>
      <c r="K13">
        <v>54900</v>
      </c>
      <c r="L13">
        <v>45</v>
      </c>
      <c r="M13">
        <v>1</v>
      </c>
      <c r="N13">
        <v>1220</v>
      </c>
    </row>
    <row r="14" spans="1:14" x14ac:dyDescent="0.25">
      <c r="A14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"1433/13", "V-42230/2023-101", "JC = 6924"),</v>
      </c>
      <c r="B14" t="s">
        <v>13</v>
      </c>
      <c r="C14" t="s">
        <v>16</v>
      </c>
      <c r="D14" t="s">
        <v>33</v>
      </c>
      <c r="E14">
        <v>1518</v>
      </c>
      <c r="F14" t="s">
        <v>121</v>
      </c>
      <c r="G14" t="str">
        <f>DataPozemky[[#This Row],[cislo_vkladu]]</f>
        <v>V-42230/2023-101</v>
      </c>
      <c r="H14" t="str">
        <f>_xlfn.CONCAT("JC = ",ROUND(DataPozemky[[#This Row],[jednotkova_cena]],0))</f>
        <v>JC = 6924</v>
      </c>
      <c r="I14" t="s">
        <v>139</v>
      </c>
      <c r="J14" t="s">
        <v>193</v>
      </c>
      <c r="K14">
        <v>43000000</v>
      </c>
      <c r="L14">
        <v>6210</v>
      </c>
      <c r="M14">
        <v>4</v>
      </c>
      <c r="N14">
        <v>6924.3156199677942</v>
      </c>
    </row>
    <row r="15" spans="1:14" x14ac:dyDescent="0.25">
      <c r="A15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"2375/7", "V-57996/2024-101", "JC = 1518"),</v>
      </c>
      <c r="B15" t="s">
        <v>13</v>
      </c>
      <c r="C15" t="s">
        <v>16</v>
      </c>
      <c r="D15" t="s">
        <v>34</v>
      </c>
      <c r="E15">
        <v>6767</v>
      </c>
      <c r="F15" t="s">
        <v>121</v>
      </c>
      <c r="G15" t="str">
        <f>DataPozemky[[#This Row],[cislo_vkladu]]</f>
        <v>V-57996/2024-101</v>
      </c>
      <c r="H15" t="str">
        <f>_xlfn.CONCAT("JC = ",ROUND(DataPozemky[[#This Row],[jednotkova_cena]],0))</f>
        <v>JC = 1518</v>
      </c>
      <c r="I15" t="s">
        <v>140</v>
      </c>
      <c r="J15" t="s">
        <v>194</v>
      </c>
      <c r="K15">
        <v>17484875</v>
      </c>
      <c r="L15">
        <v>11516</v>
      </c>
      <c r="M15">
        <v>2</v>
      </c>
      <c r="N15">
        <v>1518.311479680445</v>
      </c>
    </row>
    <row r="16" spans="1:14" x14ac:dyDescent="0.25">
      <c r="A16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"Krč", "2209/17", "V-52059/2024-101", "JC = 592"),</v>
      </c>
      <c r="B16" t="s">
        <v>13</v>
      </c>
      <c r="C16" t="s">
        <v>17</v>
      </c>
      <c r="D16" t="s">
        <v>35</v>
      </c>
      <c r="E16">
        <v>39</v>
      </c>
      <c r="F16" t="s">
        <v>126</v>
      </c>
      <c r="G16" t="str">
        <f>DataPozemky[[#This Row],[cislo_vkladu]]</f>
        <v>V-52059/2024-101</v>
      </c>
      <c r="H16" t="str">
        <f>_xlfn.CONCAT("JC = ",ROUND(DataPozemky[[#This Row],[jednotkova_cena]],0))</f>
        <v>JC = 592</v>
      </c>
      <c r="I16" t="s">
        <v>141</v>
      </c>
      <c r="J16" t="s">
        <v>195</v>
      </c>
      <c r="K16">
        <v>770000</v>
      </c>
      <c r="L16">
        <v>1300</v>
      </c>
      <c r="M16">
        <v>4</v>
      </c>
      <c r="N16">
        <v>592.30769230769226</v>
      </c>
    </row>
    <row r="17" spans="1:14" x14ac:dyDescent="0.25">
      <c r="A17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"Háje", "537/89", "V-66083/2023-101", "JC = 1657"),</v>
      </c>
      <c r="B17" t="s">
        <v>13</v>
      </c>
      <c r="C17" t="s">
        <v>19</v>
      </c>
      <c r="D17" t="s">
        <v>36</v>
      </c>
      <c r="E17">
        <v>3671</v>
      </c>
      <c r="F17" t="s">
        <v>121</v>
      </c>
      <c r="G17" t="str">
        <f>DataPozemky[[#This Row],[cislo_vkladu]]</f>
        <v>V-66083/2023-101</v>
      </c>
      <c r="H17" t="str">
        <f>_xlfn.CONCAT("JC = ",ROUND(DataPozemky[[#This Row],[jednotkova_cena]],0))</f>
        <v>JC = 1657</v>
      </c>
      <c r="I17" t="s">
        <v>142</v>
      </c>
      <c r="J17" t="s">
        <v>196</v>
      </c>
      <c r="K17">
        <v>14204500</v>
      </c>
      <c r="L17">
        <v>8570</v>
      </c>
      <c r="M17">
        <v>4</v>
      </c>
      <c r="N17">
        <v>1657.467911318553</v>
      </c>
    </row>
    <row r="18" spans="1:14" x14ac:dyDescent="0.25">
      <c r="A18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"2110/38", "V-47590/2023-101", "JC = 2805"),</v>
      </c>
      <c r="B18" t="s">
        <v>13</v>
      </c>
      <c r="C18" t="s">
        <v>16</v>
      </c>
      <c r="D18" t="s">
        <v>37</v>
      </c>
      <c r="E18">
        <v>41</v>
      </c>
      <c r="F18" t="s">
        <v>121</v>
      </c>
      <c r="G18" t="str">
        <f>DataPozemky[[#This Row],[cislo_vkladu]]</f>
        <v>V-47590/2023-101</v>
      </c>
      <c r="H18" t="str">
        <f>_xlfn.CONCAT("JC = ",ROUND(DataPozemky[[#This Row],[jednotkova_cena]],0))</f>
        <v>JC = 2805</v>
      </c>
      <c r="I18" t="s">
        <v>143</v>
      </c>
      <c r="J18" t="s">
        <v>197</v>
      </c>
      <c r="K18">
        <v>115000</v>
      </c>
      <c r="L18">
        <v>41</v>
      </c>
      <c r="M18">
        <v>1</v>
      </c>
      <c r="N18">
        <v>2804.8780487804879</v>
      </c>
    </row>
    <row r="19" spans="1:14" x14ac:dyDescent="0.25">
      <c r="A19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"Krč", "3218/5", "V-12350/2025-101", "JC = 595"),</v>
      </c>
      <c r="B19" t="s">
        <v>13</v>
      </c>
      <c r="C19" t="s">
        <v>17</v>
      </c>
      <c r="D19" t="s">
        <v>38</v>
      </c>
      <c r="E19">
        <v>147</v>
      </c>
      <c r="F19" t="s">
        <v>124</v>
      </c>
      <c r="G19" t="str">
        <f>DataPozemky[[#This Row],[cislo_vkladu]]</f>
        <v>V-12350/2025-101</v>
      </c>
      <c r="H19" t="str">
        <f>_xlfn.CONCAT("JC = ",ROUND(DataPozemky[[#This Row],[jednotkova_cena]],0))</f>
        <v>JC = 595</v>
      </c>
      <c r="I19" t="s">
        <v>144</v>
      </c>
      <c r="J19" t="s">
        <v>198</v>
      </c>
      <c r="K19">
        <v>87500</v>
      </c>
      <c r="L19">
        <v>147</v>
      </c>
      <c r="M19">
        <v>1</v>
      </c>
      <c r="N19">
        <v>595.23809523809518</v>
      </c>
    </row>
    <row r="20" spans="1:14" x14ac:dyDescent="0.25">
      <c r="A20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"2352/22", "V-25140/2025-101", "JC = 2107"),</v>
      </c>
      <c r="B20" t="s">
        <v>13</v>
      </c>
      <c r="C20" t="s">
        <v>16</v>
      </c>
      <c r="D20" t="s">
        <v>39</v>
      </c>
      <c r="E20">
        <v>1530</v>
      </c>
      <c r="F20" t="s">
        <v>123</v>
      </c>
      <c r="G20" t="str">
        <f>DataPozemky[[#This Row],[cislo_vkladu]]</f>
        <v>V-25140/2025-101</v>
      </c>
      <c r="H20" t="str">
        <f>_xlfn.CONCAT("JC = ",ROUND(DataPozemky[[#This Row],[jednotkova_cena]],0))</f>
        <v>JC = 2107</v>
      </c>
      <c r="I20" t="s">
        <v>145</v>
      </c>
      <c r="J20" t="s">
        <v>199</v>
      </c>
      <c r="K20">
        <v>100000000</v>
      </c>
      <c r="L20">
        <v>47452</v>
      </c>
      <c r="M20">
        <v>26</v>
      </c>
      <c r="N20">
        <v>2107.3927337098539</v>
      </c>
    </row>
    <row r="21" spans="1:14" x14ac:dyDescent="0.25">
      <c r="A21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"826/4", "V-345/2024-101", "JC = 9057"),</v>
      </c>
      <c r="B21" t="s">
        <v>13</v>
      </c>
      <c r="C21" t="s">
        <v>16</v>
      </c>
      <c r="D21" t="s">
        <v>40</v>
      </c>
      <c r="E21">
        <v>129</v>
      </c>
      <c r="F21" t="s">
        <v>121</v>
      </c>
      <c r="G21" t="str">
        <f>DataPozemky[[#This Row],[cislo_vkladu]]</f>
        <v>V-345/2024-101</v>
      </c>
      <c r="H21" t="str">
        <f>_xlfn.CONCAT("JC = ",ROUND(DataPozemky[[#This Row],[jednotkova_cena]],0))</f>
        <v>JC = 9057</v>
      </c>
      <c r="I21" t="s">
        <v>146</v>
      </c>
      <c r="J21" t="s">
        <v>200</v>
      </c>
      <c r="K21">
        <v>8929970</v>
      </c>
      <c r="L21">
        <v>986</v>
      </c>
      <c r="M21">
        <v>8</v>
      </c>
      <c r="N21">
        <v>9056.7647058823532</v>
      </c>
    </row>
    <row r="22" spans="1:14" x14ac:dyDescent="0.25">
      <c r="A22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"Chodov", "3481/19", "V-47528/2023-101", "JC = 1883"),</v>
      </c>
      <c r="B22" t="s">
        <v>13</v>
      </c>
      <c r="C22" t="s">
        <v>14</v>
      </c>
      <c r="D22" t="s">
        <v>41</v>
      </c>
      <c r="E22">
        <v>3529</v>
      </c>
      <c r="F22" t="s">
        <v>120</v>
      </c>
      <c r="G22" t="str">
        <f>DataPozemky[[#This Row],[cislo_vkladu]]</f>
        <v>V-47528/2023-101</v>
      </c>
      <c r="H22" t="str">
        <f>_xlfn.CONCAT("JC = ",ROUND(DataPozemky[[#This Row],[jednotkova_cena]],0))</f>
        <v>JC = 1883</v>
      </c>
      <c r="I22" t="s">
        <v>147</v>
      </c>
      <c r="J22" t="s">
        <v>201</v>
      </c>
      <c r="K22">
        <v>6644561</v>
      </c>
      <c r="L22">
        <v>3529</v>
      </c>
      <c r="M22">
        <v>1</v>
      </c>
      <c r="N22">
        <v>1882.845281949561</v>
      </c>
    </row>
    <row r="23" spans="1:14" x14ac:dyDescent="0.25">
      <c r="A23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"Braník", "3100/2", "V-4934/2026-101", "JC = 2060"),</v>
      </c>
      <c r="B23" t="s">
        <v>13</v>
      </c>
      <c r="C23" t="s">
        <v>15</v>
      </c>
      <c r="D23" t="s">
        <v>42</v>
      </c>
      <c r="E23">
        <v>26</v>
      </c>
      <c r="F23" t="s">
        <v>124</v>
      </c>
      <c r="G23" t="str">
        <f>DataPozemky[[#This Row],[cislo_vkladu]]</f>
        <v>V-4934/2026-101</v>
      </c>
      <c r="H23" t="str">
        <f>_xlfn.CONCAT("JC = ",ROUND(DataPozemky[[#This Row],[jednotkova_cena]],0))</f>
        <v>JC = 2060</v>
      </c>
      <c r="I23" t="s">
        <v>148</v>
      </c>
      <c r="J23" t="s">
        <v>202</v>
      </c>
      <c r="K23">
        <v>53560</v>
      </c>
      <c r="L23">
        <v>26</v>
      </c>
      <c r="M23">
        <v>1</v>
      </c>
      <c r="N23">
        <v>2060</v>
      </c>
    </row>
    <row r="24" spans="1:14" x14ac:dyDescent="0.25">
      <c r="A24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"Krč", "3218/5", "V-49813/2025-101", "JC = 893"),</v>
      </c>
      <c r="B24" t="s">
        <v>13</v>
      </c>
      <c r="C24" t="s">
        <v>17</v>
      </c>
      <c r="D24" t="s">
        <v>38</v>
      </c>
      <c r="E24">
        <v>147</v>
      </c>
      <c r="F24" t="s">
        <v>124</v>
      </c>
      <c r="G24" t="str">
        <f>DataPozemky[[#This Row],[cislo_vkladu]]</f>
        <v>V-49813/2025-101</v>
      </c>
      <c r="H24" t="str">
        <f>_xlfn.CONCAT("JC = ",ROUND(DataPozemky[[#This Row],[jednotkova_cena]],0))</f>
        <v>JC = 893</v>
      </c>
      <c r="I24" t="s">
        <v>149</v>
      </c>
      <c r="J24" t="s">
        <v>203</v>
      </c>
      <c r="K24">
        <v>262500</v>
      </c>
      <c r="L24">
        <v>294</v>
      </c>
      <c r="M24">
        <v>2</v>
      </c>
      <c r="N24">
        <v>892.85714285714289</v>
      </c>
    </row>
    <row r="25" spans="1:14" x14ac:dyDescent="0.25">
      <c r="A25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"Modřany", "3851/4", "V-83791/2025-101", "JC = 1370"),</v>
      </c>
      <c r="B25" t="s">
        <v>13</v>
      </c>
      <c r="C25" t="s">
        <v>18</v>
      </c>
      <c r="D25" t="s">
        <v>43</v>
      </c>
      <c r="E25">
        <v>221</v>
      </c>
      <c r="F25" t="s">
        <v>121</v>
      </c>
      <c r="G25" t="str">
        <f>DataPozemky[[#This Row],[cislo_vkladu]]</f>
        <v>V-83791/2025-101</v>
      </c>
      <c r="H25" t="str">
        <f>_xlfn.CONCAT("JC = ",ROUND(DataPozemky[[#This Row],[jednotkova_cena]],0))</f>
        <v>JC = 1370</v>
      </c>
      <c r="I25" t="s">
        <v>150</v>
      </c>
      <c r="J25" t="s">
        <v>204</v>
      </c>
      <c r="K25">
        <v>1600000</v>
      </c>
      <c r="L25">
        <v>1168</v>
      </c>
      <c r="M25">
        <v>2</v>
      </c>
      <c r="N25">
        <v>1369.8630136986301</v>
      </c>
    </row>
    <row r="26" spans="1:14" x14ac:dyDescent="0.25">
      <c r="A26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"Chodov", "3482/1", "V-28775/2025-101", "JC = 274"),</v>
      </c>
      <c r="B26" t="s">
        <v>13</v>
      </c>
      <c r="C26" t="s">
        <v>14</v>
      </c>
      <c r="D26" t="s">
        <v>44</v>
      </c>
      <c r="E26">
        <v>3170</v>
      </c>
      <c r="F26" t="s">
        <v>120</v>
      </c>
      <c r="G26" t="str">
        <f>DataPozemky[[#This Row],[cislo_vkladu]]</f>
        <v>V-28775/2025-101</v>
      </c>
      <c r="H26" t="str">
        <f>_xlfn.CONCAT("JC = ",ROUND(DataPozemky[[#This Row],[jednotkova_cena]],0))</f>
        <v>JC = 274</v>
      </c>
      <c r="I26" t="s">
        <v>151</v>
      </c>
      <c r="J26" t="s">
        <v>205</v>
      </c>
      <c r="K26">
        <v>8000000</v>
      </c>
      <c r="L26">
        <v>29204</v>
      </c>
      <c r="M26">
        <v>2</v>
      </c>
      <c r="N26">
        <v>273.93507738665937</v>
      </c>
    </row>
    <row r="27" spans="1:14" x14ac:dyDescent="0.25">
      <c r="A27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"Chodov", "3414", "V-16580/2024-101", "JC = 838"),</v>
      </c>
      <c r="B27" t="s">
        <v>13</v>
      </c>
      <c r="C27" t="s">
        <v>14</v>
      </c>
      <c r="D27" t="s">
        <v>45</v>
      </c>
      <c r="E27">
        <v>1074</v>
      </c>
      <c r="F27" t="s">
        <v>125</v>
      </c>
      <c r="G27" t="str">
        <f>DataPozemky[[#This Row],[cislo_vkladu]]</f>
        <v>V-16580/2024-101</v>
      </c>
      <c r="H27" t="str">
        <f>_xlfn.CONCAT("JC = ",ROUND(DataPozemky[[#This Row],[jednotkova_cena]],0))</f>
        <v>JC = 838</v>
      </c>
      <c r="I27" t="s">
        <v>152</v>
      </c>
      <c r="J27" t="s">
        <v>206</v>
      </c>
      <c r="K27">
        <v>899920</v>
      </c>
      <c r="L27">
        <v>1074</v>
      </c>
      <c r="M27">
        <v>1</v>
      </c>
      <c r="N27">
        <v>837.91433891992551</v>
      </c>
    </row>
    <row r="28" spans="1:14" x14ac:dyDescent="0.25">
      <c r="A28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"Chodov", "2031/6", "V-32912/2024-101", "JC = 14029"),</v>
      </c>
      <c r="B28" t="s">
        <v>13</v>
      </c>
      <c r="C28" t="s">
        <v>14</v>
      </c>
      <c r="D28" t="s">
        <v>46</v>
      </c>
      <c r="E28">
        <v>9516</v>
      </c>
      <c r="F28" t="s">
        <v>126</v>
      </c>
      <c r="G28" t="str">
        <f>DataPozemky[[#This Row],[cislo_vkladu]]</f>
        <v>V-32912/2024-101</v>
      </c>
      <c r="H28" t="str">
        <f>_xlfn.CONCAT("JC = ",ROUND(DataPozemky[[#This Row],[jednotkova_cena]],0))</f>
        <v>JC = 14029</v>
      </c>
      <c r="I28" t="s">
        <v>153</v>
      </c>
      <c r="J28" t="s">
        <v>207</v>
      </c>
      <c r="K28">
        <v>522245712</v>
      </c>
      <c r="L28">
        <v>37227</v>
      </c>
      <c r="M28">
        <v>13</v>
      </c>
      <c r="N28">
        <v>14028.681118542991</v>
      </c>
    </row>
    <row r="29" spans="1:14" x14ac:dyDescent="0.25">
      <c r="A29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"Chodov", "3503/57", "V-8162/2025-101", "JC = 1010"),</v>
      </c>
      <c r="B29" t="s">
        <v>13</v>
      </c>
      <c r="C29" t="s">
        <v>14</v>
      </c>
      <c r="D29" t="s">
        <v>47</v>
      </c>
      <c r="E29">
        <v>2621</v>
      </c>
      <c r="F29" t="s">
        <v>121</v>
      </c>
      <c r="G29" t="str">
        <f>DataPozemky[[#This Row],[cislo_vkladu]]</f>
        <v>V-8162/2025-101</v>
      </c>
      <c r="H29" t="str">
        <f>_xlfn.CONCAT("JC = ",ROUND(DataPozemky[[#This Row],[jednotkova_cena]],0))</f>
        <v>JC = 1010</v>
      </c>
      <c r="I29" t="s">
        <v>154</v>
      </c>
      <c r="J29" t="s">
        <v>208</v>
      </c>
      <c r="K29">
        <v>7200000</v>
      </c>
      <c r="L29">
        <v>7130</v>
      </c>
      <c r="M29">
        <v>7</v>
      </c>
      <c r="N29">
        <v>1009.817671809257</v>
      </c>
    </row>
    <row r="30" spans="1:14" x14ac:dyDescent="0.25">
      <c r="A30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"Krč", "2220/3", "V-20993/2025-101", "JC = 1016"),</v>
      </c>
      <c r="B30" t="s">
        <v>13</v>
      </c>
      <c r="C30" t="s">
        <v>17</v>
      </c>
      <c r="D30" t="s">
        <v>48</v>
      </c>
      <c r="E30">
        <v>10</v>
      </c>
      <c r="F30" t="s">
        <v>121</v>
      </c>
      <c r="G30" t="str">
        <f>DataPozemky[[#This Row],[cislo_vkladu]]</f>
        <v>V-20993/2025-101</v>
      </c>
      <c r="H30" t="str">
        <f>_xlfn.CONCAT("JC = ",ROUND(DataPozemky[[#This Row],[jednotkova_cena]],0))</f>
        <v>JC = 1016</v>
      </c>
      <c r="I30" t="s">
        <v>155</v>
      </c>
      <c r="J30" t="s">
        <v>209</v>
      </c>
      <c r="K30">
        <v>2960000</v>
      </c>
      <c r="L30">
        <v>2912</v>
      </c>
      <c r="M30">
        <v>3</v>
      </c>
      <c r="N30">
        <v>1016.483516483516</v>
      </c>
    </row>
    <row r="31" spans="1:14" x14ac:dyDescent="0.25">
      <c r="A31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"Záběhlice", "2472/11", "V-40089/2024-101", "JC = 178"),</v>
      </c>
      <c r="B31" t="s">
        <v>13</v>
      </c>
      <c r="C31" t="s">
        <v>20</v>
      </c>
      <c r="D31" t="s">
        <v>49</v>
      </c>
      <c r="E31">
        <v>1435</v>
      </c>
      <c r="F31" t="s">
        <v>125</v>
      </c>
      <c r="G31" t="str">
        <f>DataPozemky[[#This Row],[cislo_vkladu]]</f>
        <v>V-40089/2024-101</v>
      </c>
      <c r="H31" t="str">
        <f>_xlfn.CONCAT("JC = ",ROUND(DataPozemky[[#This Row],[jednotkova_cena]],0))</f>
        <v>JC = 178</v>
      </c>
      <c r="I31" t="s">
        <v>156</v>
      </c>
      <c r="J31" t="s">
        <v>210</v>
      </c>
      <c r="K31">
        <v>1369000</v>
      </c>
      <c r="L31">
        <v>7680</v>
      </c>
      <c r="M31">
        <v>63</v>
      </c>
      <c r="N31">
        <v>178.25520833333329</v>
      </c>
    </row>
    <row r="32" spans="1:14" x14ac:dyDescent="0.25">
      <c r="A32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"Modřany", "4753/47", "V-73994/2024-101", "JC = 128"),</v>
      </c>
      <c r="B32" t="s">
        <v>13</v>
      </c>
      <c r="C32" t="s">
        <v>18</v>
      </c>
      <c r="D32" t="s">
        <v>50</v>
      </c>
      <c r="E32">
        <v>271</v>
      </c>
      <c r="F32" t="s">
        <v>122</v>
      </c>
      <c r="G32" t="str">
        <f>DataPozemky[[#This Row],[cislo_vkladu]]</f>
        <v>V-73994/2024-101</v>
      </c>
      <c r="H32" t="str">
        <f>_xlfn.CONCAT("JC = ",ROUND(DataPozemky[[#This Row],[jednotkova_cena]],0))</f>
        <v>JC = 128</v>
      </c>
      <c r="I32" t="s">
        <v>157</v>
      </c>
      <c r="J32" t="s">
        <v>211</v>
      </c>
      <c r="K32">
        <v>34738</v>
      </c>
      <c r="L32">
        <v>271</v>
      </c>
      <c r="M32">
        <v>3</v>
      </c>
      <c r="N32">
        <v>128.18450184501839</v>
      </c>
    </row>
    <row r="33" spans="1:14" x14ac:dyDescent="0.25">
      <c r="A33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"Záběhlice", "2848/602", "V-46260/2025-101", "JC = 130"),</v>
      </c>
      <c r="B33" t="s">
        <v>13</v>
      </c>
      <c r="C33" t="s">
        <v>20</v>
      </c>
      <c r="D33" t="s">
        <v>51</v>
      </c>
      <c r="E33">
        <v>267</v>
      </c>
      <c r="F33" t="s">
        <v>120</v>
      </c>
      <c r="G33" t="str">
        <f>DataPozemky[[#This Row],[cislo_vkladu]]</f>
        <v>V-46260/2025-101</v>
      </c>
      <c r="H33" t="str">
        <f>_xlfn.CONCAT("JC = ",ROUND(DataPozemky[[#This Row],[jednotkova_cena]],0))</f>
        <v>JC = 130</v>
      </c>
      <c r="I33" t="s">
        <v>158</v>
      </c>
      <c r="J33" t="s">
        <v>212</v>
      </c>
      <c r="K33">
        <v>300000</v>
      </c>
      <c r="L33">
        <v>2309</v>
      </c>
      <c r="M33">
        <v>9</v>
      </c>
      <c r="N33">
        <v>129.926375054136</v>
      </c>
    </row>
    <row r="34" spans="1:14" x14ac:dyDescent="0.25">
      <c r="A34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"2365/7", "V-29539/2026-101", "JC = 247"),</v>
      </c>
      <c r="B34" t="s">
        <v>13</v>
      </c>
      <c r="C34" t="s">
        <v>16</v>
      </c>
      <c r="D34" t="s">
        <v>52</v>
      </c>
      <c r="E34">
        <v>1213</v>
      </c>
      <c r="F34" t="s">
        <v>120</v>
      </c>
      <c r="G34" t="str">
        <f>DataPozemky[[#This Row],[cislo_vkladu]]</f>
        <v>V-29539/2026-101</v>
      </c>
      <c r="H34" t="str">
        <f>_xlfn.CONCAT("JC = ",ROUND(DataPozemky[[#This Row],[jednotkova_cena]],0))</f>
        <v>JC = 247</v>
      </c>
      <c r="I34" t="s">
        <v>159</v>
      </c>
      <c r="J34" t="s">
        <v>213</v>
      </c>
      <c r="K34">
        <v>300000</v>
      </c>
      <c r="L34">
        <v>1213</v>
      </c>
      <c r="M34">
        <v>1</v>
      </c>
      <c r="N34">
        <v>247.32069249793901</v>
      </c>
    </row>
    <row r="35" spans="1:14" x14ac:dyDescent="0.25">
      <c r="A35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"2366/41", "V-82962/2025-101", "JC = 3000"),</v>
      </c>
      <c r="B35" t="s">
        <v>13</v>
      </c>
      <c r="C35" t="s">
        <v>16</v>
      </c>
      <c r="D35" t="s">
        <v>24</v>
      </c>
      <c r="E35">
        <v>9688</v>
      </c>
      <c r="F35" t="s">
        <v>123</v>
      </c>
      <c r="G35" t="str">
        <f>DataPozemky[[#This Row],[cislo_vkladu]]</f>
        <v>V-82962/2025-101</v>
      </c>
      <c r="H35" t="str">
        <f>_xlfn.CONCAT("JC = ",ROUND(DataPozemky[[#This Row],[jednotkova_cena]],0))</f>
        <v>JC = 3000</v>
      </c>
      <c r="I35" t="s">
        <v>160</v>
      </c>
      <c r="J35" t="s">
        <v>214</v>
      </c>
      <c r="K35">
        <v>29064000</v>
      </c>
      <c r="L35">
        <v>9688</v>
      </c>
      <c r="M35">
        <v>1</v>
      </c>
      <c r="N35">
        <v>3000</v>
      </c>
    </row>
    <row r="36" spans="1:14" x14ac:dyDescent="0.25">
      <c r="A36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"Chodov", "3482/1", "V-52735/2025-101", "JC = 2808"),</v>
      </c>
      <c r="B36" t="s">
        <v>13</v>
      </c>
      <c r="C36" t="s">
        <v>14</v>
      </c>
      <c r="D36" t="s">
        <v>44</v>
      </c>
      <c r="E36">
        <v>3170</v>
      </c>
      <c r="F36" t="s">
        <v>120</v>
      </c>
      <c r="G36" t="str">
        <f>DataPozemky[[#This Row],[cislo_vkladu]]</f>
        <v>V-52735/2025-101</v>
      </c>
      <c r="H36" t="str">
        <f>_xlfn.CONCAT("JC = ",ROUND(DataPozemky[[#This Row],[jednotkova_cena]],0))</f>
        <v>JC = 2808</v>
      </c>
      <c r="I36" t="s">
        <v>127</v>
      </c>
      <c r="J36" t="s">
        <v>181</v>
      </c>
      <c r="K36">
        <v>82000000</v>
      </c>
      <c r="L36">
        <v>29204</v>
      </c>
      <c r="M36">
        <v>2</v>
      </c>
      <c r="N36">
        <v>2807.8345432132578</v>
      </c>
    </row>
    <row r="37" spans="1:14" x14ac:dyDescent="0.25">
      <c r="A37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"Krč", "19", "V-38321/2024-101", "JC = 1146"),</v>
      </c>
      <c r="B37" t="s">
        <v>13</v>
      </c>
      <c r="C37" t="s">
        <v>17</v>
      </c>
      <c r="D37" t="s">
        <v>53</v>
      </c>
      <c r="E37">
        <v>3714</v>
      </c>
      <c r="F37" t="s">
        <v>126</v>
      </c>
      <c r="G37" t="str">
        <f>DataPozemky[[#This Row],[cislo_vkladu]]</f>
        <v>V-38321/2024-101</v>
      </c>
      <c r="H37" t="str">
        <f>_xlfn.CONCAT("JC = ",ROUND(DataPozemky[[#This Row],[jednotkova_cena]],0))</f>
        <v>JC = 1146</v>
      </c>
      <c r="I37" t="s">
        <v>161</v>
      </c>
      <c r="J37" t="s">
        <v>215</v>
      </c>
      <c r="K37">
        <v>7716417</v>
      </c>
      <c r="L37">
        <v>6736</v>
      </c>
      <c r="M37">
        <v>2</v>
      </c>
      <c r="N37">
        <v>1145.548842042755</v>
      </c>
    </row>
    <row r="38" spans="1:14" x14ac:dyDescent="0.25">
      <c r="A38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"Modřany", "2062", "V-19398/2026-101", "JC = 100"),</v>
      </c>
      <c r="B38" t="s">
        <v>13</v>
      </c>
      <c r="C38" t="s">
        <v>18</v>
      </c>
      <c r="D38" t="s">
        <v>54</v>
      </c>
      <c r="E38">
        <v>140</v>
      </c>
      <c r="F38" t="s">
        <v>121</v>
      </c>
      <c r="G38" t="str">
        <f>DataPozemky[[#This Row],[cislo_vkladu]]</f>
        <v>V-19398/2026-101</v>
      </c>
      <c r="H38" t="str">
        <f>_xlfn.CONCAT("JC = ",ROUND(DataPozemky[[#This Row],[jednotkova_cena]],0))</f>
        <v>JC = 100</v>
      </c>
      <c r="I38" t="s">
        <v>162</v>
      </c>
      <c r="J38" t="s">
        <v>216</v>
      </c>
      <c r="K38">
        <v>31200</v>
      </c>
      <c r="L38">
        <v>312</v>
      </c>
      <c r="M38">
        <v>2</v>
      </c>
      <c r="N38">
        <v>100</v>
      </c>
    </row>
    <row r="39" spans="1:14" x14ac:dyDescent="0.25">
      <c r="A39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"1433/13", "V-31029/2025-101", "JC = 7978"),</v>
      </c>
      <c r="B39" t="s">
        <v>13</v>
      </c>
      <c r="C39" t="s">
        <v>16</v>
      </c>
      <c r="D39" t="s">
        <v>33</v>
      </c>
      <c r="E39">
        <v>1518</v>
      </c>
      <c r="F39" t="s">
        <v>121</v>
      </c>
      <c r="G39" t="str">
        <f>DataPozemky[[#This Row],[cislo_vkladu]]</f>
        <v>V-31029/2025-101</v>
      </c>
      <c r="H39" t="str">
        <f>_xlfn.CONCAT("JC = ",ROUND(DataPozemky[[#This Row],[jednotkova_cena]],0))</f>
        <v>JC = 7978</v>
      </c>
      <c r="I39" t="s">
        <v>163</v>
      </c>
      <c r="J39" t="s">
        <v>217</v>
      </c>
      <c r="K39">
        <v>24500000</v>
      </c>
      <c r="L39">
        <v>3071</v>
      </c>
      <c r="M39">
        <v>2</v>
      </c>
      <c r="N39">
        <v>7977.8573754477366</v>
      </c>
    </row>
    <row r="40" spans="1:14" x14ac:dyDescent="0.25">
      <c r="A40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"2365/8", "V-64064/2025-101", "JC = 300"),</v>
      </c>
      <c r="B40" t="s">
        <v>13</v>
      </c>
      <c r="C40" t="s">
        <v>16</v>
      </c>
      <c r="D40" t="s">
        <v>55</v>
      </c>
      <c r="E40">
        <v>1200</v>
      </c>
      <c r="F40" t="s">
        <v>120</v>
      </c>
      <c r="G40" t="str">
        <f>DataPozemky[[#This Row],[cislo_vkladu]]</f>
        <v>V-64064/2025-101</v>
      </c>
      <c r="H40" t="str">
        <f>_xlfn.CONCAT("JC = ",ROUND(DataPozemky[[#This Row],[jednotkova_cena]],0))</f>
        <v>JC = 300</v>
      </c>
      <c r="I40" t="s">
        <v>164</v>
      </c>
      <c r="J40" t="s">
        <v>218</v>
      </c>
      <c r="K40">
        <v>360000</v>
      </c>
      <c r="L40">
        <v>1200</v>
      </c>
      <c r="M40">
        <v>1</v>
      </c>
      <c r="N40">
        <v>300</v>
      </c>
    </row>
    <row r="41" spans="1:14" x14ac:dyDescent="0.25">
      <c r="A41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"Chodov", "397/919", "V-9597/2026-101", "JC = 487"),</v>
      </c>
      <c r="B41" t="s">
        <v>13</v>
      </c>
      <c r="C41" t="s">
        <v>14</v>
      </c>
      <c r="D41" t="s">
        <v>56</v>
      </c>
      <c r="E41">
        <v>20</v>
      </c>
      <c r="F41" t="s">
        <v>125</v>
      </c>
      <c r="G41" t="str">
        <f>DataPozemky[[#This Row],[cislo_vkladu]]</f>
        <v>V-9597/2026-101</v>
      </c>
      <c r="H41" t="str">
        <f>_xlfn.CONCAT("JC = ",ROUND(DataPozemky[[#This Row],[jednotkova_cena]],0))</f>
        <v>JC = 487</v>
      </c>
      <c r="I41" t="s">
        <v>165</v>
      </c>
      <c r="J41" t="s">
        <v>219</v>
      </c>
      <c r="K41">
        <v>9000000</v>
      </c>
      <c r="L41">
        <v>18492</v>
      </c>
      <c r="M41">
        <v>10</v>
      </c>
      <c r="N41">
        <v>486.69695003244652</v>
      </c>
    </row>
    <row r="42" spans="1:14" x14ac:dyDescent="0.25">
      <c r="A42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"Záběhlice", "2641/1", "V-44300/2024-101", "JC = 667"),</v>
      </c>
      <c r="B42" t="s">
        <v>13</v>
      </c>
      <c r="C42" t="s">
        <v>20</v>
      </c>
      <c r="D42" t="s">
        <v>57</v>
      </c>
      <c r="E42">
        <v>590</v>
      </c>
      <c r="F42" t="s">
        <v>124</v>
      </c>
      <c r="G42" t="str">
        <f>DataPozemky[[#This Row],[cislo_vkladu]]</f>
        <v>V-44300/2024-101</v>
      </c>
      <c r="H42" t="str">
        <f>_xlfn.CONCAT("JC = ",ROUND(DataPozemky[[#This Row],[jednotkova_cena]],0))</f>
        <v>JC = 667</v>
      </c>
      <c r="I42" t="s">
        <v>166</v>
      </c>
      <c r="J42" t="s">
        <v>220</v>
      </c>
      <c r="K42">
        <v>8573690</v>
      </c>
      <c r="L42">
        <v>12863</v>
      </c>
      <c r="M42">
        <v>40</v>
      </c>
      <c r="N42">
        <v>666.53891005208743</v>
      </c>
    </row>
    <row r="43" spans="1:14" x14ac:dyDescent="0.25">
      <c r="A43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"Krč", "3354/4", "V-38324/2024-101", "JC = 517"),</v>
      </c>
      <c r="B43" t="s">
        <v>13</v>
      </c>
      <c r="C43" t="s">
        <v>17</v>
      </c>
      <c r="D43" t="s">
        <v>25</v>
      </c>
      <c r="E43">
        <v>1687</v>
      </c>
      <c r="F43" t="s">
        <v>124</v>
      </c>
      <c r="G43" t="str">
        <f>DataPozemky[[#This Row],[cislo_vkladu]]</f>
        <v>V-38324/2024-101</v>
      </c>
      <c r="H43" t="str">
        <f>_xlfn.CONCAT("JC = ",ROUND(DataPozemky[[#This Row],[jednotkova_cena]],0))</f>
        <v>JC = 517</v>
      </c>
      <c r="I43" t="s">
        <v>161</v>
      </c>
      <c r="J43" t="s">
        <v>221</v>
      </c>
      <c r="K43">
        <v>7716417</v>
      </c>
      <c r="L43">
        <v>14935</v>
      </c>
      <c r="M43">
        <v>3</v>
      </c>
      <c r="N43">
        <v>516.66668898560431</v>
      </c>
    </row>
    <row r="44" spans="1:14" x14ac:dyDescent="0.25">
      <c r="A44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"Chodov", "4481/9", "V-8859/2025-101", "JC = 243"),</v>
      </c>
      <c r="B44" t="s">
        <v>13</v>
      </c>
      <c r="C44" t="s">
        <v>14</v>
      </c>
      <c r="D44" t="s">
        <v>58</v>
      </c>
      <c r="E44">
        <v>100</v>
      </c>
      <c r="F44" t="s">
        <v>124</v>
      </c>
      <c r="G44" t="str">
        <f>DataPozemky[[#This Row],[cislo_vkladu]]</f>
        <v>V-8859/2025-101</v>
      </c>
      <c r="H44" t="str">
        <f>_xlfn.CONCAT("JC = ",ROUND(DataPozemky[[#This Row],[jednotkova_cena]],0))</f>
        <v>JC = 243</v>
      </c>
      <c r="I44" t="s">
        <v>167</v>
      </c>
      <c r="J44" t="s">
        <v>222</v>
      </c>
      <c r="K44">
        <v>852000</v>
      </c>
      <c r="L44">
        <v>3508</v>
      </c>
      <c r="M44">
        <v>16</v>
      </c>
      <c r="N44">
        <v>242.87343215507411</v>
      </c>
    </row>
    <row r="45" spans="1:14" x14ac:dyDescent="0.25">
      <c r="A45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"1433/13", "V-49247/2025-101", "JC = 11723"),</v>
      </c>
      <c r="B45" t="s">
        <v>13</v>
      </c>
      <c r="C45" t="s">
        <v>16</v>
      </c>
      <c r="D45" t="s">
        <v>33</v>
      </c>
      <c r="E45">
        <v>1518</v>
      </c>
      <c r="F45" t="s">
        <v>121</v>
      </c>
      <c r="G45" t="str">
        <f>DataPozemky[[#This Row],[cislo_vkladu]]</f>
        <v>V-49247/2025-101</v>
      </c>
      <c r="H45" t="str">
        <f>_xlfn.CONCAT("JC = ",ROUND(DataPozemky[[#This Row],[jednotkova_cena]],0))</f>
        <v>JC = 11723</v>
      </c>
      <c r="I45" t="s">
        <v>168</v>
      </c>
      <c r="J45" t="s">
        <v>223</v>
      </c>
      <c r="K45">
        <v>36000000</v>
      </c>
      <c r="L45">
        <v>3071</v>
      </c>
      <c r="M45">
        <v>2</v>
      </c>
      <c r="N45">
        <v>11722.565939433411</v>
      </c>
    </row>
    <row r="46" spans="1:14" x14ac:dyDescent="0.25">
      <c r="A46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"2352/32", "V-37658/2023-101", "JC = 176"),</v>
      </c>
      <c r="B46" t="s">
        <v>13</v>
      </c>
      <c r="C46" t="s">
        <v>16</v>
      </c>
      <c r="D46" t="s">
        <v>59</v>
      </c>
      <c r="E46">
        <v>285</v>
      </c>
      <c r="F46" t="s">
        <v>121</v>
      </c>
      <c r="G46" t="str">
        <f>DataPozemky[[#This Row],[cislo_vkladu]]</f>
        <v>V-37658/2023-101</v>
      </c>
      <c r="H46" t="str">
        <f>_xlfn.CONCAT("JC = ",ROUND(DataPozemky[[#This Row],[jednotkova_cena]],0))</f>
        <v>JC = 176</v>
      </c>
      <c r="I46" t="s">
        <v>169</v>
      </c>
      <c r="J46" t="s">
        <v>224</v>
      </c>
      <c r="K46">
        <v>800000</v>
      </c>
      <c r="L46">
        <v>4540</v>
      </c>
      <c r="M46">
        <v>3</v>
      </c>
      <c r="N46">
        <v>176.21145374449341</v>
      </c>
    </row>
    <row r="47" spans="1:14" x14ac:dyDescent="0.25">
      <c r="A47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"Záběhlice", "2698/1", "V-63497/2024-101", "JC = 1770"),</v>
      </c>
      <c r="B47" t="s">
        <v>13</v>
      </c>
      <c r="C47" t="s">
        <v>20</v>
      </c>
      <c r="D47" t="s">
        <v>60</v>
      </c>
      <c r="E47">
        <v>565</v>
      </c>
      <c r="F47" t="s">
        <v>121</v>
      </c>
      <c r="G47" t="str">
        <f>DataPozemky[[#This Row],[cislo_vkladu]]</f>
        <v>V-63497/2024-101</v>
      </c>
      <c r="H47" t="str">
        <f>_xlfn.CONCAT("JC = ",ROUND(DataPozemky[[#This Row],[jednotkova_cena]],0))</f>
        <v>JC = 1770</v>
      </c>
      <c r="I47" t="s">
        <v>170</v>
      </c>
      <c r="J47" t="s">
        <v>225</v>
      </c>
      <c r="K47">
        <v>1000000</v>
      </c>
      <c r="L47">
        <v>565</v>
      </c>
      <c r="M47">
        <v>1</v>
      </c>
      <c r="N47">
        <v>1769.911504424779</v>
      </c>
    </row>
    <row r="48" spans="1:14" x14ac:dyDescent="0.25">
      <c r="A48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"2352/21", "V-76318/2024-101", "JC = 1069"),</v>
      </c>
      <c r="B48" t="s">
        <v>13</v>
      </c>
      <c r="C48" t="s">
        <v>16</v>
      </c>
      <c r="D48" t="s">
        <v>61</v>
      </c>
      <c r="E48">
        <v>2593</v>
      </c>
      <c r="F48" t="s">
        <v>125</v>
      </c>
      <c r="G48" t="str">
        <f>DataPozemky[[#This Row],[cislo_vkladu]]</f>
        <v>V-76318/2024-101</v>
      </c>
      <c r="H48" t="str">
        <f>_xlfn.CONCAT("JC = ",ROUND(DataPozemky[[#This Row],[jednotkova_cena]],0))</f>
        <v>JC = 1069</v>
      </c>
      <c r="I48" t="s">
        <v>171</v>
      </c>
      <c r="J48" t="s">
        <v>226</v>
      </c>
      <c r="K48">
        <v>54298200</v>
      </c>
      <c r="L48">
        <v>50808</v>
      </c>
      <c r="M48">
        <v>30</v>
      </c>
      <c r="N48">
        <v>1068.693906471422</v>
      </c>
    </row>
    <row r="49" spans="1:14" x14ac:dyDescent="0.25">
      <c r="A49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"Braník", "2704/85", "V-14297/2025-101", "JC = 6604"),</v>
      </c>
      <c r="B49" t="s">
        <v>13</v>
      </c>
      <c r="C49" t="s">
        <v>15</v>
      </c>
      <c r="D49" t="s">
        <v>62</v>
      </c>
      <c r="E49">
        <v>7</v>
      </c>
      <c r="F49" t="s">
        <v>122</v>
      </c>
      <c r="G49" t="str">
        <f>DataPozemky[[#This Row],[cislo_vkladu]]</f>
        <v>V-14297/2025-101</v>
      </c>
      <c r="H49" t="str">
        <f>_xlfn.CONCAT("JC = ",ROUND(DataPozemky[[#This Row],[jednotkova_cena]],0))</f>
        <v>JC = 6604</v>
      </c>
      <c r="I49" t="s">
        <v>172</v>
      </c>
      <c r="J49" t="s">
        <v>227</v>
      </c>
      <c r="K49">
        <v>46230</v>
      </c>
      <c r="L49">
        <v>7</v>
      </c>
      <c r="M49">
        <v>1</v>
      </c>
      <c r="N49">
        <v>6604.2857142857147</v>
      </c>
    </row>
    <row r="50" spans="1:14" x14ac:dyDescent="0.25">
      <c r="A50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"1867/13", "V-717/2024-101", "JC = 172"),</v>
      </c>
      <c r="B50" t="s">
        <v>13</v>
      </c>
      <c r="C50" t="s">
        <v>16</v>
      </c>
      <c r="D50" t="s">
        <v>63</v>
      </c>
      <c r="E50">
        <v>583</v>
      </c>
      <c r="F50" t="s">
        <v>121</v>
      </c>
      <c r="G50" t="str">
        <f>DataPozemky[[#This Row],[cislo_vkladu]]</f>
        <v>V-717/2024-101</v>
      </c>
      <c r="H50" t="str">
        <f>_xlfn.CONCAT("JC = ",ROUND(DataPozemky[[#This Row],[jednotkova_cena]],0))</f>
        <v>JC = 172</v>
      </c>
      <c r="I50" t="s">
        <v>173</v>
      </c>
      <c r="J50" t="s">
        <v>228</v>
      </c>
      <c r="K50">
        <v>100000</v>
      </c>
      <c r="L50">
        <v>583</v>
      </c>
      <c r="M50">
        <v>1</v>
      </c>
      <c r="N50">
        <v>171.52658662092631</v>
      </c>
    </row>
    <row r="51" spans="1:14" x14ac:dyDescent="0.25">
      <c r="A51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"Háje", "584/12", "V-34918/2024-101", "JC = 249"),</v>
      </c>
      <c r="B51" t="s">
        <v>13</v>
      </c>
      <c r="C51" t="s">
        <v>19</v>
      </c>
      <c r="D51" t="s">
        <v>64</v>
      </c>
      <c r="E51">
        <v>1105</v>
      </c>
      <c r="F51" t="s">
        <v>122</v>
      </c>
      <c r="G51" t="str">
        <f>DataPozemky[[#This Row],[cislo_vkladu]]</f>
        <v>V-34918/2024-101</v>
      </c>
      <c r="H51" t="str">
        <f>_xlfn.CONCAT("JC = ",ROUND(DataPozemky[[#This Row],[jednotkova_cena]],0))</f>
        <v>JC = 249</v>
      </c>
      <c r="I51" t="s">
        <v>174</v>
      </c>
      <c r="J51" t="s">
        <v>229</v>
      </c>
      <c r="K51">
        <v>9000000</v>
      </c>
      <c r="L51">
        <v>36083</v>
      </c>
      <c r="M51">
        <v>24</v>
      </c>
      <c r="N51">
        <v>249.42493695091869</v>
      </c>
    </row>
    <row r="52" spans="1:14" x14ac:dyDescent="0.25">
      <c r="A52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"2110/9", "V-48493/2025-101", "JC = 1870"),</v>
      </c>
      <c r="B52" t="s">
        <v>13</v>
      </c>
      <c r="C52" t="s">
        <v>16</v>
      </c>
      <c r="D52" t="s">
        <v>65</v>
      </c>
      <c r="E52">
        <v>1492</v>
      </c>
      <c r="F52" t="s">
        <v>121</v>
      </c>
      <c r="G52" t="str">
        <f>DataPozemky[[#This Row],[cislo_vkladu]]</f>
        <v>V-48493/2025-101</v>
      </c>
      <c r="H52" t="str">
        <f>_xlfn.CONCAT("JC = ",ROUND(DataPozemky[[#This Row],[jednotkova_cena]],0))</f>
        <v>JC = 1870</v>
      </c>
      <c r="I52" t="s">
        <v>175</v>
      </c>
      <c r="J52" t="s">
        <v>230</v>
      </c>
      <c r="K52">
        <v>4000000</v>
      </c>
      <c r="L52">
        <v>2139</v>
      </c>
      <c r="M52">
        <v>2</v>
      </c>
      <c r="N52">
        <v>1870.032725572697</v>
      </c>
    </row>
    <row r="53" spans="1:14" x14ac:dyDescent="0.25">
      <c r="A53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"Braník", "2058/4", "V-23035/2025-101", "JC = 2298"),</v>
      </c>
      <c r="B53" t="s">
        <v>13</v>
      </c>
      <c r="C53" t="s">
        <v>15</v>
      </c>
      <c r="D53" t="s">
        <v>66</v>
      </c>
      <c r="E53">
        <v>1014</v>
      </c>
      <c r="F53" t="s">
        <v>121</v>
      </c>
      <c r="G53" t="str">
        <f>DataPozemky[[#This Row],[cislo_vkladu]]</f>
        <v>V-23035/2025-101</v>
      </c>
      <c r="H53" t="str">
        <f>_xlfn.CONCAT("JC = ",ROUND(DataPozemky[[#This Row],[jednotkova_cena]],0))</f>
        <v>JC = 2298</v>
      </c>
      <c r="I53" t="s">
        <v>176</v>
      </c>
      <c r="J53" t="s">
        <v>231</v>
      </c>
      <c r="K53">
        <v>2330000</v>
      </c>
      <c r="L53">
        <v>1014</v>
      </c>
      <c r="M53">
        <v>1</v>
      </c>
      <c r="N53">
        <v>2297.830374753451</v>
      </c>
    </row>
    <row r="54" spans="1:14" x14ac:dyDescent="0.25">
      <c r="A54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"2110/9", "V-74904/2025-101", "JC = 1335"),</v>
      </c>
      <c r="B54" t="s">
        <v>13</v>
      </c>
      <c r="C54" t="s">
        <v>16</v>
      </c>
      <c r="D54" t="s">
        <v>65</v>
      </c>
      <c r="E54">
        <v>1492</v>
      </c>
      <c r="F54" t="s">
        <v>121</v>
      </c>
      <c r="G54" t="str">
        <f>DataPozemky[[#This Row],[cislo_vkladu]]</f>
        <v>V-74904/2025-101</v>
      </c>
      <c r="H54" t="str">
        <f>_xlfn.CONCAT("JC = ",ROUND(DataPozemky[[#This Row],[jednotkova_cena]],0))</f>
        <v>JC = 1335</v>
      </c>
      <c r="I54" t="s">
        <v>177</v>
      </c>
      <c r="J54" t="s">
        <v>232</v>
      </c>
      <c r="K54">
        <v>1992000</v>
      </c>
      <c r="L54">
        <v>1492</v>
      </c>
      <c r="M54">
        <v>1</v>
      </c>
      <c r="N54">
        <v>1335.120643431635</v>
      </c>
    </row>
    <row r="55" spans="1:14" x14ac:dyDescent="0.25">
      <c r="A55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"Modřany", "2063/9", "V-19398/2026-101", "JC = 100"),</v>
      </c>
      <c r="B55" t="s">
        <v>13</v>
      </c>
      <c r="C55" t="s">
        <v>18</v>
      </c>
      <c r="D55" t="s">
        <v>67</v>
      </c>
      <c r="E55">
        <v>172</v>
      </c>
      <c r="F55" t="s">
        <v>121</v>
      </c>
      <c r="G55" t="str">
        <f>DataPozemky[[#This Row],[cislo_vkladu]]</f>
        <v>V-19398/2026-101</v>
      </c>
      <c r="H55" t="str">
        <f>_xlfn.CONCAT("JC = ",ROUND(DataPozemky[[#This Row],[jednotkova_cena]],0))</f>
        <v>JC = 100</v>
      </c>
      <c r="I55" t="s">
        <v>162</v>
      </c>
      <c r="J55" t="s">
        <v>216</v>
      </c>
      <c r="K55">
        <v>31200</v>
      </c>
      <c r="L55">
        <v>312</v>
      </c>
      <c r="M55">
        <v>2</v>
      </c>
      <c r="N55">
        <v>100</v>
      </c>
    </row>
    <row r="56" spans="1:14" x14ac:dyDescent="0.25">
      <c r="A56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"Chodov", "397/915", "V-9597/2026-101", "JC = 487"),</v>
      </c>
      <c r="B56" t="s">
        <v>13</v>
      </c>
      <c r="C56" t="s">
        <v>14</v>
      </c>
      <c r="D56" t="s">
        <v>68</v>
      </c>
      <c r="E56">
        <v>121</v>
      </c>
      <c r="F56" t="s">
        <v>125</v>
      </c>
      <c r="G56" t="str">
        <f>DataPozemky[[#This Row],[cislo_vkladu]]</f>
        <v>V-9597/2026-101</v>
      </c>
      <c r="H56" t="str">
        <f>_xlfn.CONCAT("JC = ",ROUND(DataPozemky[[#This Row],[jednotkova_cena]],0))</f>
        <v>JC = 487</v>
      </c>
      <c r="I56" t="s">
        <v>165</v>
      </c>
      <c r="J56" t="s">
        <v>219</v>
      </c>
      <c r="K56">
        <v>9000000</v>
      </c>
      <c r="L56">
        <v>18492</v>
      </c>
      <c r="M56">
        <v>10</v>
      </c>
      <c r="N56">
        <v>486.69695003244652</v>
      </c>
    </row>
    <row r="57" spans="1:14" x14ac:dyDescent="0.25">
      <c r="A57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"Chodov", "397/918", "V-9597/2026-101", "JC = 487"),</v>
      </c>
      <c r="B57" t="s">
        <v>13</v>
      </c>
      <c r="C57" t="s">
        <v>14</v>
      </c>
      <c r="D57" t="s">
        <v>69</v>
      </c>
      <c r="E57">
        <v>526</v>
      </c>
      <c r="F57" t="s">
        <v>125</v>
      </c>
      <c r="G57" t="str">
        <f>DataPozemky[[#This Row],[cislo_vkladu]]</f>
        <v>V-9597/2026-101</v>
      </c>
      <c r="H57" t="str">
        <f>_xlfn.CONCAT("JC = ",ROUND(DataPozemky[[#This Row],[jednotkova_cena]],0))</f>
        <v>JC = 487</v>
      </c>
      <c r="I57" t="s">
        <v>165</v>
      </c>
      <c r="J57" t="s">
        <v>219</v>
      </c>
      <c r="K57">
        <v>9000000</v>
      </c>
      <c r="L57">
        <v>18492</v>
      </c>
      <c r="M57">
        <v>10</v>
      </c>
      <c r="N57">
        <v>486.69695003244652</v>
      </c>
    </row>
    <row r="58" spans="1:14" x14ac:dyDescent="0.25">
      <c r="A58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"Chodov", "397/914", "V-9597/2026-101", "JC = 487"),</v>
      </c>
      <c r="B58" t="s">
        <v>13</v>
      </c>
      <c r="C58" t="s">
        <v>14</v>
      </c>
      <c r="D58" t="s">
        <v>70</v>
      </c>
      <c r="E58">
        <v>1045</v>
      </c>
      <c r="F58" t="s">
        <v>125</v>
      </c>
      <c r="G58" t="str">
        <f>DataPozemky[[#This Row],[cislo_vkladu]]</f>
        <v>V-9597/2026-101</v>
      </c>
      <c r="H58" t="str">
        <f>_xlfn.CONCAT("JC = ",ROUND(DataPozemky[[#This Row],[jednotkova_cena]],0))</f>
        <v>JC = 487</v>
      </c>
      <c r="I58" t="s">
        <v>165</v>
      </c>
      <c r="J58" t="s">
        <v>219</v>
      </c>
      <c r="K58">
        <v>9000000</v>
      </c>
      <c r="L58">
        <v>18492</v>
      </c>
      <c r="M58">
        <v>10</v>
      </c>
      <c r="N58">
        <v>486.69695003244652</v>
      </c>
    </row>
    <row r="59" spans="1:14" x14ac:dyDescent="0.25">
      <c r="A59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"Chodov", "397/917", "V-9597/2026-101", "JC = 487"),</v>
      </c>
      <c r="B59" t="s">
        <v>13</v>
      </c>
      <c r="C59" t="s">
        <v>14</v>
      </c>
      <c r="D59" t="s">
        <v>71</v>
      </c>
      <c r="E59">
        <v>207</v>
      </c>
      <c r="F59" t="s">
        <v>125</v>
      </c>
      <c r="G59" t="str">
        <f>DataPozemky[[#This Row],[cislo_vkladu]]</f>
        <v>V-9597/2026-101</v>
      </c>
      <c r="H59" t="str">
        <f>_xlfn.CONCAT("JC = ",ROUND(DataPozemky[[#This Row],[jednotkova_cena]],0))</f>
        <v>JC = 487</v>
      </c>
      <c r="I59" t="s">
        <v>165</v>
      </c>
      <c r="J59" t="s">
        <v>219</v>
      </c>
      <c r="K59">
        <v>9000000</v>
      </c>
      <c r="L59">
        <v>18492</v>
      </c>
      <c r="M59">
        <v>10</v>
      </c>
      <c r="N59">
        <v>486.69695003244652</v>
      </c>
    </row>
    <row r="60" spans="1:14" x14ac:dyDescent="0.25">
      <c r="A60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"Chodov", "397/916", "V-9597/2026-101", "JC = 487"),</v>
      </c>
      <c r="B60" t="s">
        <v>13</v>
      </c>
      <c r="C60" t="s">
        <v>14</v>
      </c>
      <c r="D60" t="s">
        <v>72</v>
      </c>
      <c r="E60">
        <v>196</v>
      </c>
      <c r="F60" t="s">
        <v>125</v>
      </c>
      <c r="G60" t="str">
        <f>DataPozemky[[#This Row],[cislo_vkladu]]</f>
        <v>V-9597/2026-101</v>
      </c>
      <c r="H60" t="str">
        <f>_xlfn.CONCAT("JC = ",ROUND(DataPozemky[[#This Row],[jednotkova_cena]],0))</f>
        <v>JC = 487</v>
      </c>
      <c r="I60" t="s">
        <v>165</v>
      </c>
      <c r="J60" t="s">
        <v>219</v>
      </c>
      <c r="K60">
        <v>9000000</v>
      </c>
      <c r="L60">
        <v>18492</v>
      </c>
      <c r="M60">
        <v>10</v>
      </c>
      <c r="N60">
        <v>486.69695003244652</v>
      </c>
    </row>
    <row r="61" spans="1:14" x14ac:dyDescent="0.25">
      <c r="A61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"Chodov", "397/920", "V-9597/2026-101", "JC = 487"),</v>
      </c>
      <c r="B61" t="s">
        <v>13</v>
      </c>
      <c r="C61" t="s">
        <v>14</v>
      </c>
      <c r="D61" t="s">
        <v>73</v>
      </c>
      <c r="E61">
        <v>23</v>
      </c>
      <c r="F61" t="s">
        <v>125</v>
      </c>
      <c r="G61" t="str">
        <f>DataPozemky[[#This Row],[cislo_vkladu]]</f>
        <v>V-9597/2026-101</v>
      </c>
      <c r="H61" t="str">
        <f>_xlfn.CONCAT("JC = ",ROUND(DataPozemky[[#This Row],[jednotkova_cena]],0))</f>
        <v>JC = 487</v>
      </c>
      <c r="I61" t="s">
        <v>165</v>
      </c>
      <c r="J61" t="s">
        <v>219</v>
      </c>
      <c r="K61">
        <v>9000000</v>
      </c>
      <c r="L61">
        <v>18492</v>
      </c>
      <c r="M61">
        <v>10</v>
      </c>
      <c r="N61">
        <v>486.69695003244652</v>
      </c>
    </row>
    <row r="62" spans="1:14" x14ac:dyDescent="0.25">
      <c r="A62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"Záběhlice", "2643/9", "V-44300/2024-101", "JC = 667"),</v>
      </c>
      <c r="B62" t="s">
        <v>13</v>
      </c>
      <c r="C62" t="s">
        <v>20</v>
      </c>
      <c r="D62" t="s">
        <v>74</v>
      </c>
      <c r="E62">
        <v>75</v>
      </c>
      <c r="F62" t="s">
        <v>124</v>
      </c>
      <c r="G62" t="str">
        <f>DataPozemky[[#This Row],[cislo_vkladu]]</f>
        <v>V-44300/2024-101</v>
      </c>
      <c r="H62" t="str">
        <f>_xlfn.CONCAT("JC = ",ROUND(DataPozemky[[#This Row],[jednotkova_cena]],0))</f>
        <v>JC = 667</v>
      </c>
      <c r="I62" t="s">
        <v>166</v>
      </c>
      <c r="J62" t="s">
        <v>220</v>
      </c>
      <c r="K62">
        <v>8573690</v>
      </c>
      <c r="L62">
        <v>12863</v>
      </c>
      <c r="M62">
        <v>40</v>
      </c>
      <c r="N62">
        <v>666.53891005208743</v>
      </c>
    </row>
    <row r="63" spans="1:14" x14ac:dyDescent="0.25">
      <c r="A63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"Záběhlice", "5929/5", "V-44300/2024-101", "JC = 667"),</v>
      </c>
      <c r="B63" t="s">
        <v>13</v>
      </c>
      <c r="C63" t="s">
        <v>20</v>
      </c>
      <c r="D63" t="s">
        <v>75</v>
      </c>
      <c r="E63">
        <v>265</v>
      </c>
      <c r="F63" t="s">
        <v>121</v>
      </c>
      <c r="G63" t="str">
        <f>DataPozemky[[#This Row],[cislo_vkladu]]</f>
        <v>V-44300/2024-101</v>
      </c>
      <c r="H63" t="str">
        <f>_xlfn.CONCAT("JC = ",ROUND(DataPozemky[[#This Row],[jednotkova_cena]],0))</f>
        <v>JC = 667</v>
      </c>
      <c r="I63" t="s">
        <v>166</v>
      </c>
      <c r="J63" t="s">
        <v>220</v>
      </c>
      <c r="K63">
        <v>8573690</v>
      </c>
      <c r="L63">
        <v>12863</v>
      </c>
      <c r="M63">
        <v>40</v>
      </c>
      <c r="N63">
        <v>666.53891005208743</v>
      </c>
    </row>
    <row r="64" spans="1:14" x14ac:dyDescent="0.25">
      <c r="A64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"Záběhlice", "5928/7", "V-44300/2024-101", "JC = 667"),</v>
      </c>
      <c r="B64" t="s">
        <v>13</v>
      </c>
      <c r="C64" t="s">
        <v>20</v>
      </c>
      <c r="D64" t="s">
        <v>76</v>
      </c>
      <c r="E64">
        <v>23</v>
      </c>
      <c r="F64" t="s">
        <v>124</v>
      </c>
      <c r="G64" t="str">
        <f>DataPozemky[[#This Row],[cislo_vkladu]]</f>
        <v>V-44300/2024-101</v>
      </c>
      <c r="H64" t="str">
        <f>_xlfn.CONCAT("JC = ",ROUND(DataPozemky[[#This Row],[jednotkova_cena]],0))</f>
        <v>JC = 667</v>
      </c>
      <c r="I64" t="s">
        <v>166</v>
      </c>
      <c r="J64" t="s">
        <v>220</v>
      </c>
      <c r="K64">
        <v>8573690</v>
      </c>
      <c r="L64">
        <v>12863</v>
      </c>
      <c r="M64">
        <v>40</v>
      </c>
      <c r="N64">
        <v>666.53891005208743</v>
      </c>
    </row>
    <row r="65" spans="1:14" x14ac:dyDescent="0.25">
      <c r="A65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"Záběhlice", "5928/6", "V-44300/2024-101", "JC = 667"),</v>
      </c>
      <c r="B65" t="s">
        <v>13</v>
      </c>
      <c r="C65" t="s">
        <v>20</v>
      </c>
      <c r="D65" t="s">
        <v>77</v>
      </c>
      <c r="E65">
        <v>635</v>
      </c>
      <c r="F65" t="s">
        <v>121</v>
      </c>
      <c r="G65" t="str">
        <f>DataPozemky[[#This Row],[cislo_vkladu]]</f>
        <v>V-44300/2024-101</v>
      </c>
      <c r="H65" t="str">
        <f>_xlfn.CONCAT("JC = ",ROUND(DataPozemky[[#This Row],[jednotkova_cena]],0))</f>
        <v>JC = 667</v>
      </c>
      <c r="I65" t="s">
        <v>166</v>
      </c>
      <c r="J65" t="s">
        <v>220</v>
      </c>
      <c r="K65">
        <v>8573690</v>
      </c>
      <c r="L65">
        <v>12863</v>
      </c>
      <c r="M65">
        <v>40</v>
      </c>
      <c r="N65">
        <v>666.53891005208743</v>
      </c>
    </row>
    <row r="66" spans="1:14" x14ac:dyDescent="0.25">
      <c r="A66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"Záběhlice", "5849/3", "V-44300/2024-101", "JC = 667"),</v>
      </c>
      <c r="B66" t="s">
        <v>13</v>
      </c>
      <c r="C66" t="s">
        <v>20</v>
      </c>
      <c r="D66" t="s">
        <v>78</v>
      </c>
      <c r="E66">
        <v>85</v>
      </c>
      <c r="F66" t="s">
        <v>124</v>
      </c>
      <c r="G66" t="str">
        <f>DataPozemky[[#This Row],[cislo_vkladu]]</f>
        <v>V-44300/2024-101</v>
      </c>
      <c r="H66" t="str">
        <f>_xlfn.CONCAT("JC = ",ROUND(DataPozemky[[#This Row],[jednotkova_cena]],0))</f>
        <v>JC = 667</v>
      </c>
      <c r="I66" t="s">
        <v>166</v>
      </c>
      <c r="J66" t="s">
        <v>220</v>
      </c>
      <c r="K66">
        <v>8573690</v>
      </c>
      <c r="L66">
        <v>12863</v>
      </c>
      <c r="M66">
        <v>40</v>
      </c>
      <c r="N66">
        <v>666.53891005208743</v>
      </c>
    </row>
    <row r="67" spans="1:14" x14ac:dyDescent="0.25">
      <c r="A67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"Záběhlice", "2650/4", "V-44300/2024-101", "JC = 667"),</v>
      </c>
      <c r="B67" t="s">
        <v>13</v>
      </c>
      <c r="C67" t="s">
        <v>20</v>
      </c>
      <c r="D67" t="s">
        <v>79</v>
      </c>
      <c r="E67">
        <v>584</v>
      </c>
      <c r="F67" t="s">
        <v>121</v>
      </c>
      <c r="G67" t="str">
        <f>DataPozemky[[#This Row],[cislo_vkladu]]</f>
        <v>V-44300/2024-101</v>
      </c>
      <c r="H67" t="str">
        <f>_xlfn.CONCAT("JC = ",ROUND(DataPozemky[[#This Row],[jednotkova_cena]],0))</f>
        <v>JC = 667</v>
      </c>
      <c r="I67" t="s">
        <v>166</v>
      </c>
      <c r="J67" t="s">
        <v>220</v>
      </c>
      <c r="K67">
        <v>8573690</v>
      </c>
      <c r="L67">
        <v>12863</v>
      </c>
      <c r="M67">
        <v>40</v>
      </c>
      <c r="N67">
        <v>666.53891005208743</v>
      </c>
    </row>
    <row r="68" spans="1:14" x14ac:dyDescent="0.25">
      <c r="A68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"Chodov", "3115/15", "V-8859/2025-101", "JC = 243"),</v>
      </c>
      <c r="B68" t="s">
        <v>13</v>
      </c>
      <c r="C68" t="s">
        <v>14</v>
      </c>
      <c r="D68" t="s">
        <v>80</v>
      </c>
      <c r="E68">
        <v>14</v>
      </c>
      <c r="F68" t="s">
        <v>126</v>
      </c>
      <c r="G68" t="str">
        <f>DataPozemky[[#This Row],[cislo_vkladu]]</f>
        <v>V-8859/2025-101</v>
      </c>
      <c r="H68" t="str">
        <f>_xlfn.CONCAT("JC = ",ROUND(DataPozemky[[#This Row],[jednotkova_cena]],0))</f>
        <v>JC = 243</v>
      </c>
      <c r="I68" t="s">
        <v>167</v>
      </c>
      <c r="J68" t="s">
        <v>222</v>
      </c>
      <c r="K68">
        <v>852000</v>
      </c>
      <c r="L68">
        <v>3508</v>
      </c>
      <c r="M68">
        <v>16</v>
      </c>
      <c r="N68">
        <v>242.87343215507411</v>
      </c>
    </row>
    <row r="69" spans="1:14" x14ac:dyDescent="0.25">
      <c r="A69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"Chodov", "242/1", "V-8859/2025-101", "JC = 243"),</v>
      </c>
      <c r="B69" t="s">
        <v>13</v>
      </c>
      <c r="C69" t="s">
        <v>14</v>
      </c>
      <c r="D69" t="s">
        <v>81</v>
      </c>
      <c r="E69">
        <v>1189</v>
      </c>
      <c r="F69" t="s">
        <v>126</v>
      </c>
      <c r="G69" t="str">
        <f>DataPozemky[[#This Row],[cislo_vkladu]]</f>
        <v>V-8859/2025-101</v>
      </c>
      <c r="H69" t="str">
        <f>_xlfn.CONCAT("JC = ",ROUND(DataPozemky[[#This Row],[jednotkova_cena]],0))</f>
        <v>JC = 243</v>
      </c>
      <c r="I69" t="s">
        <v>167</v>
      </c>
      <c r="J69" t="s">
        <v>222</v>
      </c>
      <c r="K69">
        <v>852000</v>
      </c>
      <c r="L69">
        <v>3508</v>
      </c>
      <c r="M69">
        <v>16</v>
      </c>
      <c r="N69">
        <v>242.87343215507411</v>
      </c>
    </row>
    <row r="70" spans="1:14" x14ac:dyDescent="0.25">
      <c r="A70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"2352/28", "V-37658/2023-101", "JC = 176"),</v>
      </c>
      <c r="B70" t="s">
        <v>13</v>
      </c>
      <c r="C70" t="s">
        <v>16</v>
      </c>
      <c r="D70" t="s">
        <v>82</v>
      </c>
      <c r="E70">
        <v>974</v>
      </c>
      <c r="F70" t="s">
        <v>121</v>
      </c>
      <c r="G70" t="str">
        <f>DataPozemky[[#This Row],[cislo_vkladu]]</f>
        <v>V-37658/2023-101</v>
      </c>
      <c r="H70" t="str">
        <f>_xlfn.CONCAT("JC = ",ROUND(DataPozemky[[#This Row],[jednotkova_cena]],0))</f>
        <v>JC = 176</v>
      </c>
      <c r="I70" t="s">
        <v>169</v>
      </c>
      <c r="J70" t="s">
        <v>224</v>
      </c>
      <c r="K70">
        <v>800000</v>
      </c>
      <c r="L70">
        <v>4540</v>
      </c>
      <c r="M70">
        <v>3</v>
      </c>
      <c r="N70">
        <v>176.21145374449341</v>
      </c>
    </row>
    <row r="71" spans="1:14" x14ac:dyDescent="0.25">
      <c r="A71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"2350/9", "V-37658/2023-101", "JC = 176"),</v>
      </c>
      <c r="B71" t="s">
        <v>13</v>
      </c>
      <c r="C71" t="s">
        <v>16</v>
      </c>
      <c r="D71" t="s">
        <v>83</v>
      </c>
      <c r="E71">
        <v>3281</v>
      </c>
      <c r="F71" t="s">
        <v>121</v>
      </c>
      <c r="G71" t="str">
        <f>DataPozemky[[#This Row],[cislo_vkladu]]</f>
        <v>V-37658/2023-101</v>
      </c>
      <c r="H71" t="str">
        <f>_xlfn.CONCAT("JC = ",ROUND(DataPozemky[[#This Row],[jednotkova_cena]],0))</f>
        <v>JC = 176</v>
      </c>
      <c r="I71" t="s">
        <v>169</v>
      </c>
      <c r="J71" t="s">
        <v>224</v>
      </c>
      <c r="K71">
        <v>800000</v>
      </c>
      <c r="L71">
        <v>4540</v>
      </c>
      <c r="M71">
        <v>3</v>
      </c>
      <c r="N71">
        <v>176.21145374449341</v>
      </c>
    </row>
    <row r="72" spans="1:14" x14ac:dyDescent="0.25">
      <c r="A72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"2352/34", "V-76318/2024-101", "JC = 1069"),</v>
      </c>
      <c r="B72" t="s">
        <v>13</v>
      </c>
      <c r="C72" t="s">
        <v>16</v>
      </c>
      <c r="D72" t="s">
        <v>84</v>
      </c>
      <c r="E72">
        <v>70</v>
      </c>
      <c r="F72" t="s">
        <v>121</v>
      </c>
      <c r="G72" t="str">
        <f>DataPozemky[[#This Row],[cislo_vkladu]]</f>
        <v>V-76318/2024-101</v>
      </c>
      <c r="H72" t="str">
        <f>_xlfn.CONCAT("JC = ",ROUND(DataPozemky[[#This Row],[jednotkova_cena]],0))</f>
        <v>JC = 1069</v>
      </c>
      <c r="I72" t="s">
        <v>171</v>
      </c>
      <c r="J72" t="s">
        <v>226</v>
      </c>
      <c r="K72">
        <v>54298200</v>
      </c>
      <c r="L72">
        <v>50808</v>
      </c>
      <c r="M72">
        <v>30</v>
      </c>
      <c r="N72">
        <v>1068.693906471422</v>
      </c>
    </row>
    <row r="73" spans="1:14" x14ac:dyDescent="0.25">
      <c r="A73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"2352/5", "V-76318/2024-101", "JC = 1069"),</v>
      </c>
      <c r="B73" t="s">
        <v>13</v>
      </c>
      <c r="C73" t="s">
        <v>16</v>
      </c>
      <c r="D73" t="s">
        <v>85</v>
      </c>
      <c r="E73">
        <v>203</v>
      </c>
      <c r="F73" t="s">
        <v>121</v>
      </c>
      <c r="G73" t="str">
        <f>DataPozemky[[#This Row],[cislo_vkladu]]</f>
        <v>V-76318/2024-101</v>
      </c>
      <c r="H73" t="str">
        <f>_xlfn.CONCAT("JC = ",ROUND(DataPozemky[[#This Row],[jednotkova_cena]],0))</f>
        <v>JC = 1069</v>
      </c>
      <c r="I73" t="s">
        <v>171</v>
      </c>
      <c r="J73" t="s">
        <v>226</v>
      </c>
      <c r="K73">
        <v>54298200</v>
      </c>
      <c r="L73">
        <v>50808</v>
      </c>
      <c r="M73">
        <v>30</v>
      </c>
      <c r="N73">
        <v>1068.693906471422</v>
      </c>
    </row>
    <row r="74" spans="1:14" x14ac:dyDescent="0.25">
      <c r="A74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"2352/33", "V-76318/2024-101", "JC = 1069"),</v>
      </c>
      <c r="B74" t="s">
        <v>13</v>
      </c>
      <c r="C74" t="s">
        <v>16</v>
      </c>
      <c r="D74" t="s">
        <v>86</v>
      </c>
      <c r="E74">
        <v>1820</v>
      </c>
      <c r="F74" t="s">
        <v>121</v>
      </c>
      <c r="G74" t="str">
        <f>DataPozemky[[#This Row],[cislo_vkladu]]</f>
        <v>V-76318/2024-101</v>
      </c>
      <c r="H74" t="str">
        <f>_xlfn.CONCAT("JC = ",ROUND(DataPozemky[[#This Row],[jednotkova_cena]],0))</f>
        <v>JC = 1069</v>
      </c>
      <c r="I74" t="s">
        <v>171</v>
      </c>
      <c r="J74" t="s">
        <v>226</v>
      </c>
      <c r="K74">
        <v>54298200</v>
      </c>
      <c r="L74">
        <v>50808</v>
      </c>
      <c r="M74">
        <v>30</v>
      </c>
      <c r="N74">
        <v>1068.693906471422</v>
      </c>
    </row>
    <row r="75" spans="1:14" x14ac:dyDescent="0.25">
      <c r="A75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"2350/7", "V-76318/2024-101", "JC = 1069"),</v>
      </c>
      <c r="B75" t="s">
        <v>13</v>
      </c>
      <c r="C75" t="s">
        <v>16</v>
      </c>
      <c r="D75" t="s">
        <v>87</v>
      </c>
      <c r="E75">
        <v>2571</v>
      </c>
      <c r="F75" t="s">
        <v>121</v>
      </c>
      <c r="G75" t="str">
        <f>DataPozemky[[#This Row],[cislo_vkladu]]</f>
        <v>V-76318/2024-101</v>
      </c>
      <c r="H75" t="str">
        <f>_xlfn.CONCAT("JC = ",ROUND(DataPozemky[[#This Row],[jednotkova_cena]],0))</f>
        <v>JC = 1069</v>
      </c>
      <c r="I75" t="s">
        <v>171</v>
      </c>
      <c r="J75" t="s">
        <v>226</v>
      </c>
      <c r="K75">
        <v>54298200</v>
      </c>
      <c r="L75">
        <v>50808</v>
      </c>
      <c r="M75">
        <v>30</v>
      </c>
      <c r="N75">
        <v>1068.693906471422</v>
      </c>
    </row>
    <row r="76" spans="1:14" x14ac:dyDescent="0.25">
      <c r="A76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"1477/4", "V-76318/2024-101", "JC = 1069"),</v>
      </c>
      <c r="B76" t="s">
        <v>13</v>
      </c>
      <c r="C76" t="s">
        <v>16</v>
      </c>
      <c r="D76" t="s">
        <v>88</v>
      </c>
      <c r="E76">
        <v>162</v>
      </c>
      <c r="F76" t="s">
        <v>121</v>
      </c>
      <c r="G76" t="str">
        <f>DataPozemky[[#This Row],[cislo_vkladu]]</f>
        <v>V-76318/2024-101</v>
      </c>
      <c r="H76" t="str">
        <f>_xlfn.CONCAT("JC = ",ROUND(DataPozemky[[#This Row],[jednotkova_cena]],0))</f>
        <v>JC = 1069</v>
      </c>
      <c r="I76" t="s">
        <v>171</v>
      </c>
      <c r="J76" t="s">
        <v>226</v>
      </c>
      <c r="K76">
        <v>54298200</v>
      </c>
      <c r="L76">
        <v>50808</v>
      </c>
      <c r="M76">
        <v>30</v>
      </c>
      <c r="N76">
        <v>1068.693906471422</v>
      </c>
    </row>
    <row r="77" spans="1:14" x14ac:dyDescent="0.25">
      <c r="A77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"1470/176", "V-76318/2024-101", "JC = 1069"),</v>
      </c>
      <c r="B77" t="s">
        <v>13</v>
      </c>
      <c r="C77" t="s">
        <v>16</v>
      </c>
      <c r="D77" t="s">
        <v>89</v>
      </c>
      <c r="E77">
        <v>5847</v>
      </c>
      <c r="F77" t="s">
        <v>121</v>
      </c>
      <c r="G77" t="str">
        <f>DataPozemky[[#This Row],[cislo_vkladu]]</f>
        <v>V-76318/2024-101</v>
      </c>
      <c r="H77" t="str">
        <f>_xlfn.CONCAT("JC = ",ROUND(DataPozemky[[#This Row],[jednotkova_cena]],0))</f>
        <v>JC = 1069</v>
      </c>
      <c r="I77" t="s">
        <v>171</v>
      </c>
      <c r="J77" t="s">
        <v>226</v>
      </c>
      <c r="K77">
        <v>54298200</v>
      </c>
      <c r="L77">
        <v>50808</v>
      </c>
      <c r="M77">
        <v>30</v>
      </c>
      <c r="N77">
        <v>1068.693906471422</v>
      </c>
    </row>
    <row r="78" spans="1:14" x14ac:dyDescent="0.25">
      <c r="A78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"1478/11", "V-76318/2024-101", "JC = 1069"),</v>
      </c>
      <c r="B78" t="s">
        <v>13</v>
      </c>
      <c r="C78" t="s">
        <v>16</v>
      </c>
      <c r="D78" t="s">
        <v>90</v>
      </c>
      <c r="E78">
        <v>2941</v>
      </c>
      <c r="F78" t="s">
        <v>121</v>
      </c>
      <c r="G78" t="str">
        <f>DataPozemky[[#This Row],[cislo_vkladu]]</f>
        <v>V-76318/2024-101</v>
      </c>
      <c r="H78" t="str">
        <f>_xlfn.CONCAT("JC = ",ROUND(DataPozemky[[#This Row],[jednotkova_cena]],0))</f>
        <v>JC = 1069</v>
      </c>
      <c r="I78" t="s">
        <v>171</v>
      </c>
      <c r="J78" t="s">
        <v>226</v>
      </c>
      <c r="K78">
        <v>54298200</v>
      </c>
      <c r="L78">
        <v>50808</v>
      </c>
      <c r="M78">
        <v>30</v>
      </c>
      <c r="N78">
        <v>1068.693906471422</v>
      </c>
    </row>
    <row r="79" spans="1:14" x14ac:dyDescent="0.25">
      <c r="A79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"2110/8", "V-48493/2025-101", "JC = 1870"),</v>
      </c>
      <c r="B79" t="s">
        <v>13</v>
      </c>
      <c r="C79" t="s">
        <v>16</v>
      </c>
      <c r="D79" t="s">
        <v>91</v>
      </c>
      <c r="E79">
        <v>647</v>
      </c>
      <c r="F79" t="s">
        <v>121</v>
      </c>
      <c r="G79" t="str">
        <f>DataPozemky[[#This Row],[cislo_vkladu]]</f>
        <v>V-48493/2025-101</v>
      </c>
      <c r="H79" t="str">
        <f>_xlfn.CONCAT("JC = ",ROUND(DataPozemky[[#This Row],[jednotkova_cena]],0))</f>
        <v>JC = 1870</v>
      </c>
      <c r="I79" t="s">
        <v>175</v>
      </c>
      <c r="J79" t="s">
        <v>230</v>
      </c>
      <c r="K79">
        <v>4000000</v>
      </c>
      <c r="L79">
        <v>2139</v>
      </c>
      <c r="M79">
        <v>2</v>
      </c>
      <c r="N79">
        <v>1870.032725572697</v>
      </c>
    </row>
    <row r="80" spans="1:14" x14ac:dyDescent="0.25">
      <c r="A80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"2349/15", "V-32174/2024-101", "JC = 7739"),</v>
      </c>
      <c r="B80" t="s">
        <v>13</v>
      </c>
      <c r="C80" t="s">
        <v>16</v>
      </c>
      <c r="D80" t="s">
        <v>92</v>
      </c>
      <c r="E80">
        <v>5531</v>
      </c>
      <c r="F80" t="s">
        <v>121</v>
      </c>
      <c r="G80" t="str">
        <f>DataPozemky[[#This Row],[cislo_vkladu]]</f>
        <v>V-32174/2024-101</v>
      </c>
      <c r="H80" t="str">
        <f>_xlfn.CONCAT("JC = ",ROUND(DataPozemky[[#This Row],[jednotkova_cena]],0))</f>
        <v>JC = 7739</v>
      </c>
      <c r="I80" t="s">
        <v>178</v>
      </c>
      <c r="J80" t="s">
        <v>233</v>
      </c>
      <c r="K80">
        <v>50000000</v>
      </c>
      <c r="L80">
        <v>6461</v>
      </c>
      <c r="M80">
        <v>2</v>
      </c>
      <c r="N80">
        <v>7738.7401331063302</v>
      </c>
    </row>
    <row r="81" spans="1:14" x14ac:dyDescent="0.25">
      <c r="A81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"2372/34", "V-19568/2025-101", "JC = 5492"),</v>
      </c>
      <c r="B81" t="s">
        <v>13</v>
      </c>
      <c r="C81" t="s">
        <v>16</v>
      </c>
      <c r="D81" t="s">
        <v>93</v>
      </c>
      <c r="E81">
        <v>804</v>
      </c>
      <c r="F81" t="s">
        <v>125</v>
      </c>
      <c r="G81" t="str">
        <f>DataPozemky[[#This Row],[cislo_vkladu]]</f>
        <v>V-19568/2025-101</v>
      </c>
      <c r="H81" t="str">
        <f>_xlfn.CONCAT("JC = ",ROUND(DataPozemky[[#This Row],[jednotkova_cena]],0))</f>
        <v>JC = 5492</v>
      </c>
      <c r="I81" t="s">
        <v>179</v>
      </c>
      <c r="J81" t="s">
        <v>234</v>
      </c>
      <c r="K81">
        <v>54000000</v>
      </c>
      <c r="L81">
        <v>9833</v>
      </c>
      <c r="M81">
        <v>5</v>
      </c>
      <c r="N81">
        <v>5491.7115834435062</v>
      </c>
    </row>
    <row r="82" spans="1:14" x14ac:dyDescent="0.25">
      <c r="A82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"Záběhlice", "5932/3", "V-46828/2024-101", "JC = 2315"),</v>
      </c>
      <c r="B82" t="s">
        <v>13</v>
      </c>
      <c r="C82" t="s">
        <v>20</v>
      </c>
      <c r="D82" t="s">
        <v>94</v>
      </c>
      <c r="E82">
        <v>154</v>
      </c>
      <c r="F82" t="s">
        <v>124</v>
      </c>
      <c r="G82" t="str">
        <f>DataPozemky[[#This Row],[cislo_vkladu]]</f>
        <v>V-46828/2024-101</v>
      </c>
      <c r="H82" t="str">
        <f>_xlfn.CONCAT("JC = ",ROUND(DataPozemky[[#This Row],[jednotkova_cena]],0))</f>
        <v>JC = 2315</v>
      </c>
      <c r="I82" t="s">
        <v>180</v>
      </c>
      <c r="J82" t="s">
        <v>235</v>
      </c>
      <c r="K82">
        <v>13497710</v>
      </c>
      <c r="L82">
        <v>5830</v>
      </c>
      <c r="M82">
        <v>8</v>
      </c>
      <c r="N82">
        <v>2315.2161234991422</v>
      </c>
    </row>
    <row r="83" spans="1:14" x14ac:dyDescent="0.25">
      <c r="A83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"2372/31", "V-19568/2025-101", "JC = 5492"),</v>
      </c>
      <c r="B83" t="s">
        <v>13</v>
      </c>
      <c r="C83" t="s">
        <v>16</v>
      </c>
      <c r="D83" t="s">
        <v>95</v>
      </c>
      <c r="E83">
        <v>4382</v>
      </c>
      <c r="F83" t="s">
        <v>125</v>
      </c>
      <c r="G83" t="str">
        <f>DataPozemky[[#This Row],[cislo_vkladu]]</f>
        <v>V-19568/2025-101</v>
      </c>
      <c r="H83" t="str">
        <f>_xlfn.CONCAT("JC = ",ROUND(DataPozemky[[#This Row],[jednotkova_cena]],0))</f>
        <v>JC = 5492</v>
      </c>
      <c r="I83" t="s">
        <v>179</v>
      </c>
      <c r="J83" t="s">
        <v>234</v>
      </c>
      <c r="K83">
        <v>54000000</v>
      </c>
      <c r="L83">
        <v>9833</v>
      </c>
      <c r="M83">
        <v>5</v>
      </c>
      <c r="N83">
        <v>5491.7115834435062</v>
      </c>
    </row>
    <row r="84" spans="1:14" x14ac:dyDescent="0.25">
      <c r="A84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"Záběhlice", "147", "V-46828/2024-101", "JC = 2315"),</v>
      </c>
      <c r="B84" t="s">
        <v>13</v>
      </c>
      <c r="C84" t="s">
        <v>20</v>
      </c>
      <c r="D84" t="s">
        <v>96</v>
      </c>
      <c r="E84">
        <v>29</v>
      </c>
      <c r="F84" t="s">
        <v>124</v>
      </c>
      <c r="G84" t="str">
        <f>DataPozemky[[#This Row],[cislo_vkladu]]</f>
        <v>V-46828/2024-101</v>
      </c>
      <c r="H84" t="str">
        <f>_xlfn.CONCAT("JC = ",ROUND(DataPozemky[[#This Row],[jednotkova_cena]],0))</f>
        <v>JC = 2315</v>
      </c>
      <c r="I84" t="s">
        <v>180</v>
      </c>
      <c r="J84" t="s">
        <v>235</v>
      </c>
      <c r="K84">
        <v>13497710</v>
      </c>
      <c r="L84">
        <v>5830</v>
      </c>
      <c r="M84">
        <v>8</v>
      </c>
      <c r="N84">
        <v>2315.2161234991422</v>
      </c>
    </row>
    <row r="85" spans="1:14" x14ac:dyDescent="0.25">
      <c r="A85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"Krč", "3354/4", "V-33362/2026-101", "JC = 588"),</v>
      </c>
      <c r="B85" t="s">
        <v>13</v>
      </c>
      <c r="C85" t="s">
        <v>17</v>
      </c>
      <c r="D85" t="s">
        <v>25</v>
      </c>
      <c r="E85">
        <v>1687</v>
      </c>
      <c r="F85" t="s">
        <v>124</v>
      </c>
      <c r="G85" t="str">
        <f>DataPozemky[[#This Row],[cislo_vkladu]]</f>
        <v>V-33362/2026-101</v>
      </c>
      <c r="H85" t="str">
        <f>_xlfn.CONCAT("JC = ",ROUND(DataPozemky[[#This Row],[jednotkova_cena]],0))</f>
        <v>JC = 588</v>
      </c>
      <c r="I85" t="s">
        <v>131</v>
      </c>
      <c r="J85" t="s">
        <v>185</v>
      </c>
      <c r="K85">
        <v>17548625</v>
      </c>
      <c r="L85">
        <v>29870</v>
      </c>
      <c r="M85">
        <v>6</v>
      </c>
      <c r="N85">
        <v>587.5</v>
      </c>
    </row>
    <row r="86" spans="1:14" x14ac:dyDescent="0.25">
      <c r="A86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"Háje", "576/53", "V-34858/2025-101", "JC = 300"),</v>
      </c>
      <c r="B86" t="s">
        <v>13</v>
      </c>
      <c r="C86" t="s">
        <v>19</v>
      </c>
      <c r="D86" t="s">
        <v>97</v>
      </c>
      <c r="E86">
        <v>2</v>
      </c>
      <c r="F86" t="s">
        <v>121</v>
      </c>
      <c r="G86" t="str">
        <f>DataPozemky[[#This Row],[cislo_vkladu]]</f>
        <v>V-34858/2025-101</v>
      </c>
      <c r="H86" t="str">
        <f>_xlfn.CONCAT("JC = ",ROUND(DataPozemky[[#This Row],[jednotkova_cena]],0))</f>
        <v>JC = 300</v>
      </c>
      <c r="I86" t="s">
        <v>134</v>
      </c>
      <c r="J86" t="s">
        <v>188</v>
      </c>
      <c r="K86">
        <v>172500</v>
      </c>
      <c r="L86">
        <v>575</v>
      </c>
      <c r="M86">
        <v>7</v>
      </c>
      <c r="N86">
        <v>300</v>
      </c>
    </row>
    <row r="87" spans="1:14" x14ac:dyDescent="0.25">
      <c r="A87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"Háje", "584/18", "V-34858/2025-101", "JC = 300"),</v>
      </c>
      <c r="B87" t="s">
        <v>13</v>
      </c>
      <c r="C87" t="s">
        <v>19</v>
      </c>
      <c r="D87" t="s">
        <v>98</v>
      </c>
      <c r="E87">
        <v>63</v>
      </c>
      <c r="F87" t="s">
        <v>122</v>
      </c>
      <c r="G87" t="str">
        <f>DataPozemky[[#This Row],[cislo_vkladu]]</f>
        <v>V-34858/2025-101</v>
      </c>
      <c r="H87" t="str">
        <f>_xlfn.CONCAT("JC = ",ROUND(DataPozemky[[#This Row],[jednotkova_cena]],0))</f>
        <v>JC = 300</v>
      </c>
      <c r="I87" t="s">
        <v>134</v>
      </c>
      <c r="J87" t="s">
        <v>188</v>
      </c>
      <c r="K87">
        <v>172500</v>
      </c>
      <c r="L87">
        <v>575</v>
      </c>
      <c r="M87">
        <v>7</v>
      </c>
      <c r="N87">
        <v>300</v>
      </c>
    </row>
    <row r="88" spans="1:14" x14ac:dyDescent="0.25">
      <c r="A88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"Háje", "584/15", "V-34858/2025-101", "JC = 300"),</v>
      </c>
      <c r="B88" t="s">
        <v>13</v>
      </c>
      <c r="C88" t="s">
        <v>19</v>
      </c>
      <c r="D88" t="s">
        <v>99</v>
      </c>
      <c r="E88">
        <v>18</v>
      </c>
      <c r="F88" t="s">
        <v>121</v>
      </c>
      <c r="G88" t="str">
        <f>DataPozemky[[#This Row],[cislo_vkladu]]</f>
        <v>V-34858/2025-101</v>
      </c>
      <c r="H88" t="str">
        <f>_xlfn.CONCAT("JC = ",ROUND(DataPozemky[[#This Row],[jednotkova_cena]],0))</f>
        <v>JC = 300</v>
      </c>
      <c r="I88" t="s">
        <v>134</v>
      </c>
      <c r="J88" t="s">
        <v>188</v>
      </c>
      <c r="K88">
        <v>172500</v>
      </c>
      <c r="L88">
        <v>575</v>
      </c>
      <c r="M88">
        <v>7</v>
      </c>
      <c r="N88">
        <v>300</v>
      </c>
    </row>
    <row r="89" spans="1:14" x14ac:dyDescent="0.25">
      <c r="A89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"Háje", "576/54", "V-34858/2025-101", "JC = 300"),</v>
      </c>
      <c r="B89" t="s">
        <v>13</v>
      </c>
      <c r="C89" t="s">
        <v>19</v>
      </c>
      <c r="D89" t="s">
        <v>100</v>
      </c>
      <c r="E89">
        <v>136</v>
      </c>
      <c r="F89" t="s">
        <v>121</v>
      </c>
      <c r="G89" t="str">
        <f>DataPozemky[[#This Row],[cislo_vkladu]]</f>
        <v>V-34858/2025-101</v>
      </c>
      <c r="H89" t="str">
        <f>_xlfn.CONCAT("JC = ",ROUND(DataPozemky[[#This Row],[jednotkova_cena]],0))</f>
        <v>JC = 300</v>
      </c>
      <c r="I89" t="s">
        <v>134</v>
      </c>
      <c r="J89" t="s">
        <v>188</v>
      </c>
      <c r="K89">
        <v>172500</v>
      </c>
      <c r="L89">
        <v>575</v>
      </c>
      <c r="M89">
        <v>7</v>
      </c>
      <c r="N89">
        <v>300</v>
      </c>
    </row>
    <row r="90" spans="1:14" x14ac:dyDescent="0.25">
      <c r="A90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"Háje", "576/52", "V-34858/2025-101", "JC = 300"),</v>
      </c>
      <c r="B90" t="s">
        <v>13</v>
      </c>
      <c r="C90" t="s">
        <v>19</v>
      </c>
      <c r="D90" t="s">
        <v>101</v>
      </c>
      <c r="E90">
        <v>45</v>
      </c>
      <c r="F90" t="s">
        <v>121</v>
      </c>
      <c r="G90" t="str">
        <f>DataPozemky[[#This Row],[cislo_vkladu]]</f>
        <v>V-34858/2025-101</v>
      </c>
      <c r="H90" t="str">
        <f>_xlfn.CONCAT("JC = ",ROUND(DataPozemky[[#This Row],[jednotkova_cena]],0))</f>
        <v>JC = 300</v>
      </c>
      <c r="I90" t="s">
        <v>134</v>
      </c>
      <c r="J90" t="s">
        <v>188</v>
      </c>
      <c r="K90">
        <v>172500</v>
      </c>
      <c r="L90">
        <v>575</v>
      </c>
      <c r="M90">
        <v>7</v>
      </c>
      <c r="N90">
        <v>300</v>
      </c>
    </row>
    <row r="91" spans="1:14" x14ac:dyDescent="0.25">
      <c r="A91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"1433/10", "V-42230/2023-101", "JC = 6924"),</v>
      </c>
      <c r="B91" t="s">
        <v>13</v>
      </c>
      <c r="C91" t="s">
        <v>16</v>
      </c>
      <c r="D91" t="s">
        <v>26</v>
      </c>
      <c r="E91">
        <v>1800</v>
      </c>
      <c r="F91" t="s">
        <v>121</v>
      </c>
      <c r="G91" t="str">
        <f>DataPozemky[[#This Row],[cislo_vkladu]]</f>
        <v>V-42230/2023-101</v>
      </c>
      <c r="H91" t="str">
        <f>_xlfn.CONCAT("JC = ",ROUND(DataPozemky[[#This Row],[jednotkova_cena]],0))</f>
        <v>JC = 6924</v>
      </c>
      <c r="I91" t="s">
        <v>139</v>
      </c>
      <c r="J91" t="s">
        <v>193</v>
      </c>
      <c r="K91">
        <v>43000000</v>
      </c>
      <c r="L91">
        <v>6210</v>
      </c>
      <c r="M91">
        <v>4</v>
      </c>
      <c r="N91">
        <v>6924.3156199677942</v>
      </c>
    </row>
    <row r="92" spans="1:14" x14ac:dyDescent="0.25">
      <c r="A92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"1433/11", "V-42230/2023-101", "JC = 6924"),</v>
      </c>
      <c r="B92" t="s">
        <v>13</v>
      </c>
      <c r="C92" t="s">
        <v>16</v>
      </c>
      <c r="D92" t="s">
        <v>29</v>
      </c>
      <c r="E92">
        <v>1339</v>
      </c>
      <c r="F92" t="s">
        <v>121</v>
      </c>
      <c r="G92" t="str">
        <f>DataPozemky[[#This Row],[cislo_vkladu]]</f>
        <v>V-42230/2023-101</v>
      </c>
      <c r="H92" t="str">
        <f>_xlfn.CONCAT("JC = ",ROUND(DataPozemky[[#This Row],[jednotkova_cena]],0))</f>
        <v>JC = 6924</v>
      </c>
      <c r="I92" t="s">
        <v>139</v>
      </c>
      <c r="J92" t="s">
        <v>193</v>
      </c>
      <c r="K92">
        <v>43000000</v>
      </c>
      <c r="L92">
        <v>6210</v>
      </c>
      <c r="M92">
        <v>4</v>
      </c>
      <c r="N92">
        <v>6924.3156199677942</v>
      </c>
    </row>
    <row r="93" spans="1:14" x14ac:dyDescent="0.25">
      <c r="A93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"Krč", "2216/2", "V-52059/2024-101", "JC = 592"),</v>
      </c>
      <c r="B93" t="s">
        <v>13</v>
      </c>
      <c r="C93" t="s">
        <v>17</v>
      </c>
      <c r="D93" t="s">
        <v>102</v>
      </c>
      <c r="E93">
        <v>611</v>
      </c>
      <c r="F93" t="s">
        <v>126</v>
      </c>
      <c r="G93" t="str">
        <f>DataPozemky[[#This Row],[cislo_vkladu]]</f>
        <v>V-52059/2024-101</v>
      </c>
      <c r="H93" t="str">
        <f>_xlfn.CONCAT("JC = ",ROUND(DataPozemky[[#This Row],[jednotkova_cena]],0))</f>
        <v>JC = 592</v>
      </c>
      <c r="I93" t="s">
        <v>141</v>
      </c>
      <c r="J93" t="s">
        <v>195</v>
      </c>
      <c r="K93">
        <v>770000</v>
      </c>
      <c r="L93">
        <v>1300</v>
      </c>
      <c r="M93">
        <v>4</v>
      </c>
      <c r="N93">
        <v>592.30769230769226</v>
      </c>
    </row>
    <row r="94" spans="1:14" x14ac:dyDescent="0.25">
      <c r="A94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"Krč", "2209/17", "V-52059/2024-101", "JC = 592"),</v>
      </c>
      <c r="B94" t="s">
        <v>13</v>
      </c>
      <c r="C94" t="s">
        <v>17</v>
      </c>
      <c r="D94" t="s">
        <v>35</v>
      </c>
      <c r="E94">
        <v>39</v>
      </c>
      <c r="F94" t="s">
        <v>126</v>
      </c>
      <c r="G94" t="str">
        <f>DataPozemky[[#This Row],[cislo_vkladu]]</f>
        <v>V-52059/2024-101</v>
      </c>
      <c r="H94" t="str">
        <f>_xlfn.CONCAT("JC = ",ROUND(DataPozemky[[#This Row],[jednotkova_cena]],0))</f>
        <v>JC = 592</v>
      </c>
      <c r="I94" t="s">
        <v>141</v>
      </c>
      <c r="J94" t="s">
        <v>195</v>
      </c>
      <c r="K94">
        <v>770000</v>
      </c>
      <c r="L94">
        <v>1300</v>
      </c>
      <c r="M94">
        <v>4</v>
      </c>
      <c r="N94">
        <v>592.30769230769226</v>
      </c>
    </row>
    <row r="95" spans="1:14" x14ac:dyDescent="0.25">
      <c r="A95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"Krč", "2216/2", "V-52059/2024-101", "JC = 592"),</v>
      </c>
      <c r="B95" t="s">
        <v>13</v>
      </c>
      <c r="C95" t="s">
        <v>17</v>
      </c>
      <c r="D95" t="s">
        <v>102</v>
      </c>
      <c r="E95">
        <v>611</v>
      </c>
      <c r="F95" t="s">
        <v>126</v>
      </c>
      <c r="G95" t="str">
        <f>DataPozemky[[#This Row],[cislo_vkladu]]</f>
        <v>V-52059/2024-101</v>
      </c>
      <c r="H95" t="str">
        <f>_xlfn.CONCAT("JC = ",ROUND(DataPozemky[[#This Row],[jednotkova_cena]],0))</f>
        <v>JC = 592</v>
      </c>
      <c r="I95" t="s">
        <v>141</v>
      </c>
      <c r="J95" t="s">
        <v>195</v>
      </c>
      <c r="K95">
        <v>770000</v>
      </c>
      <c r="L95">
        <v>1300</v>
      </c>
      <c r="M95">
        <v>4</v>
      </c>
      <c r="N95">
        <v>592.30769230769226</v>
      </c>
    </row>
    <row r="96" spans="1:14" x14ac:dyDescent="0.25">
      <c r="A96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"2352/20", "V-25140/2025-101", "JC = 2107"),</v>
      </c>
      <c r="B96" t="s">
        <v>13</v>
      </c>
      <c r="C96" t="s">
        <v>16</v>
      </c>
      <c r="D96" t="s">
        <v>103</v>
      </c>
      <c r="E96">
        <v>12141</v>
      </c>
      <c r="F96" t="s">
        <v>123</v>
      </c>
      <c r="G96" t="str">
        <f>DataPozemky[[#This Row],[cislo_vkladu]]</f>
        <v>V-25140/2025-101</v>
      </c>
      <c r="H96" t="str">
        <f>_xlfn.CONCAT("JC = ",ROUND(DataPozemky[[#This Row],[jednotkova_cena]],0))</f>
        <v>JC = 2107</v>
      </c>
      <c r="I96" t="s">
        <v>145</v>
      </c>
      <c r="J96" t="s">
        <v>199</v>
      </c>
      <c r="K96">
        <v>100000000</v>
      </c>
      <c r="L96">
        <v>47452</v>
      </c>
      <c r="M96">
        <v>26</v>
      </c>
      <c r="N96">
        <v>2107.3927337098539</v>
      </c>
    </row>
    <row r="97" spans="1:14" x14ac:dyDescent="0.25">
      <c r="A97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"2352/12", "V-25140/2025-101", "JC = 2107"),</v>
      </c>
      <c r="B97" t="s">
        <v>13</v>
      </c>
      <c r="C97" t="s">
        <v>16</v>
      </c>
      <c r="D97" t="s">
        <v>104</v>
      </c>
      <c r="E97">
        <v>329</v>
      </c>
      <c r="F97" t="s">
        <v>123</v>
      </c>
      <c r="G97" t="str">
        <f>DataPozemky[[#This Row],[cislo_vkladu]]</f>
        <v>V-25140/2025-101</v>
      </c>
      <c r="H97" t="str">
        <f>_xlfn.CONCAT("JC = ",ROUND(DataPozemky[[#This Row],[jednotkova_cena]],0))</f>
        <v>JC = 2107</v>
      </c>
      <c r="I97" t="s">
        <v>145</v>
      </c>
      <c r="J97" t="s">
        <v>199</v>
      </c>
      <c r="K97">
        <v>100000000</v>
      </c>
      <c r="L97">
        <v>47452</v>
      </c>
      <c r="M97">
        <v>26</v>
      </c>
      <c r="N97">
        <v>2107.3927337098539</v>
      </c>
    </row>
    <row r="98" spans="1:14" x14ac:dyDescent="0.25">
      <c r="A98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"2352/11", "V-25140/2025-101", "JC = 2107"),</v>
      </c>
      <c r="B98" t="s">
        <v>13</v>
      </c>
      <c r="C98" t="s">
        <v>16</v>
      </c>
      <c r="D98" t="s">
        <v>105</v>
      </c>
      <c r="E98">
        <v>196</v>
      </c>
      <c r="F98" t="s">
        <v>121</v>
      </c>
      <c r="G98" t="str">
        <f>DataPozemky[[#This Row],[cislo_vkladu]]</f>
        <v>V-25140/2025-101</v>
      </c>
      <c r="H98" t="str">
        <f>_xlfn.CONCAT("JC = ",ROUND(DataPozemky[[#This Row],[jednotkova_cena]],0))</f>
        <v>JC = 2107</v>
      </c>
      <c r="I98" t="s">
        <v>145</v>
      </c>
      <c r="J98" t="s">
        <v>199</v>
      </c>
      <c r="K98">
        <v>100000000</v>
      </c>
      <c r="L98">
        <v>47452</v>
      </c>
      <c r="M98">
        <v>26</v>
      </c>
      <c r="N98">
        <v>2107.3927337098539</v>
      </c>
    </row>
    <row r="99" spans="1:14" x14ac:dyDescent="0.25">
      <c r="A99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"2352/10", "V-25140/2025-101", "JC = 2107"),</v>
      </c>
      <c r="B99" t="s">
        <v>13</v>
      </c>
      <c r="C99" t="s">
        <v>16</v>
      </c>
      <c r="D99" t="s">
        <v>106</v>
      </c>
      <c r="E99">
        <v>8986</v>
      </c>
      <c r="F99" t="s">
        <v>123</v>
      </c>
      <c r="G99" t="str">
        <f>DataPozemky[[#This Row],[cislo_vkladu]]</f>
        <v>V-25140/2025-101</v>
      </c>
      <c r="H99" t="str">
        <f>_xlfn.CONCAT("JC = ",ROUND(DataPozemky[[#This Row],[jednotkova_cena]],0))</f>
        <v>JC = 2107</v>
      </c>
      <c r="I99" t="s">
        <v>145</v>
      </c>
      <c r="J99" t="s">
        <v>199</v>
      </c>
      <c r="K99">
        <v>100000000</v>
      </c>
      <c r="L99">
        <v>47452</v>
      </c>
      <c r="M99">
        <v>26</v>
      </c>
      <c r="N99">
        <v>2107.3927337098539</v>
      </c>
    </row>
    <row r="100" spans="1:14" x14ac:dyDescent="0.25">
      <c r="A100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"2352/4", "V-25140/2025-101", "JC = 2107"),</v>
      </c>
      <c r="B100" t="s">
        <v>13</v>
      </c>
      <c r="C100" t="s">
        <v>16</v>
      </c>
      <c r="D100" t="s">
        <v>107</v>
      </c>
      <c r="E100">
        <v>3464</v>
      </c>
      <c r="F100" t="s">
        <v>121</v>
      </c>
      <c r="G100" t="str">
        <f>DataPozemky[[#This Row],[cislo_vkladu]]</f>
        <v>V-25140/2025-101</v>
      </c>
      <c r="H100" t="str">
        <f>_xlfn.CONCAT("JC = ",ROUND(DataPozemky[[#This Row],[jednotkova_cena]],0))</f>
        <v>JC = 2107</v>
      </c>
      <c r="I100" t="s">
        <v>145</v>
      </c>
      <c r="J100" t="s">
        <v>199</v>
      </c>
      <c r="K100">
        <v>100000000</v>
      </c>
      <c r="L100">
        <v>47452</v>
      </c>
      <c r="M100">
        <v>26</v>
      </c>
      <c r="N100">
        <v>2107.3927337098539</v>
      </c>
    </row>
    <row r="101" spans="1:14" x14ac:dyDescent="0.25">
      <c r="A101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"1480/3", "V-25140/2025-101", "JC = 2107"),</v>
      </c>
      <c r="B101" t="s">
        <v>13</v>
      </c>
      <c r="C101" t="s">
        <v>16</v>
      </c>
      <c r="D101" t="s">
        <v>108</v>
      </c>
      <c r="E101">
        <v>23</v>
      </c>
      <c r="F101" t="s">
        <v>121</v>
      </c>
      <c r="G101" t="str">
        <f>DataPozemky[[#This Row],[cislo_vkladu]]</f>
        <v>V-25140/2025-101</v>
      </c>
      <c r="H101" t="str">
        <f>_xlfn.CONCAT("JC = ",ROUND(DataPozemky[[#This Row],[jednotkova_cena]],0))</f>
        <v>JC = 2107</v>
      </c>
      <c r="I101" t="s">
        <v>145</v>
      </c>
      <c r="J101" t="s">
        <v>199</v>
      </c>
      <c r="K101">
        <v>100000000</v>
      </c>
      <c r="L101">
        <v>47452</v>
      </c>
      <c r="M101">
        <v>26</v>
      </c>
      <c r="N101">
        <v>2107.3927337098539</v>
      </c>
    </row>
    <row r="102" spans="1:14" x14ac:dyDescent="0.25">
      <c r="A102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"2352/2", "V-25140/2025-101", "JC = 2107"),</v>
      </c>
      <c r="B102" t="s">
        <v>13</v>
      </c>
      <c r="C102" t="s">
        <v>16</v>
      </c>
      <c r="D102" t="s">
        <v>109</v>
      </c>
      <c r="E102">
        <v>2837</v>
      </c>
      <c r="F102" t="s">
        <v>121</v>
      </c>
      <c r="G102" t="str">
        <f>DataPozemky[[#This Row],[cislo_vkladu]]</f>
        <v>V-25140/2025-101</v>
      </c>
      <c r="H102" t="str">
        <f>_xlfn.CONCAT("JC = ",ROUND(DataPozemky[[#This Row],[jednotkova_cena]],0))</f>
        <v>JC = 2107</v>
      </c>
      <c r="I102" t="s">
        <v>145</v>
      </c>
      <c r="J102" t="s">
        <v>199</v>
      </c>
      <c r="K102">
        <v>100000000</v>
      </c>
      <c r="L102">
        <v>47452</v>
      </c>
      <c r="M102">
        <v>26</v>
      </c>
      <c r="N102">
        <v>2107.3927337098539</v>
      </c>
    </row>
    <row r="103" spans="1:14" x14ac:dyDescent="0.25">
      <c r="A103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"1481/1", "V-25140/2025-101", "JC = 2107"),</v>
      </c>
      <c r="B103" t="s">
        <v>13</v>
      </c>
      <c r="C103" t="s">
        <v>16</v>
      </c>
      <c r="D103" t="s">
        <v>110</v>
      </c>
      <c r="E103">
        <v>4169</v>
      </c>
      <c r="F103" t="s">
        <v>125</v>
      </c>
      <c r="G103" t="str">
        <f>DataPozemky[[#This Row],[cislo_vkladu]]</f>
        <v>V-25140/2025-101</v>
      </c>
      <c r="H103" t="str">
        <f>_xlfn.CONCAT("JC = ",ROUND(DataPozemky[[#This Row],[jednotkova_cena]],0))</f>
        <v>JC = 2107</v>
      </c>
      <c r="I103" t="s">
        <v>145</v>
      </c>
      <c r="J103" t="s">
        <v>199</v>
      </c>
      <c r="K103">
        <v>100000000</v>
      </c>
      <c r="L103">
        <v>47452</v>
      </c>
      <c r="M103">
        <v>26</v>
      </c>
      <c r="N103">
        <v>2107.3927337098539</v>
      </c>
    </row>
    <row r="104" spans="1:14" x14ac:dyDescent="0.25">
      <c r="A104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"1480/4", "V-25140/2025-101", "JC = 2107"),</v>
      </c>
      <c r="B104" t="s">
        <v>13</v>
      </c>
      <c r="C104" t="s">
        <v>16</v>
      </c>
      <c r="D104" t="s">
        <v>111</v>
      </c>
      <c r="E104">
        <v>19</v>
      </c>
      <c r="F104" t="s">
        <v>121</v>
      </c>
      <c r="G104" t="str">
        <f>DataPozemky[[#This Row],[cislo_vkladu]]</f>
        <v>V-25140/2025-101</v>
      </c>
      <c r="H104" t="str">
        <f>_xlfn.CONCAT("JC = ",ROUND(DataPozemky[[#This Row],[jednotkova_cena]],0))</f>
        <v>JC = 2107</v>
      </c>
      <c r="I104" t="s">
        <v>145</v>
      </c>
      <c r="J104" t="s">
        <v>199</v>
      </c>
      <c r="K104">
        <v>100000000</v>
      </c>
      <c r="L104">
        <v>47452</v>
      </c>
      <c r="M104">
        <v>26</v>
      </c>
      <c r="N104">
        <v>2107.3927337098539</v>
      </c>
    </row>
    <row r="105" spans="1:14" x14ac:dyDescent="0.25">
      <c r="A105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"2352/31", "V-25140/2025-101", "JC = 2107"),</v>
      </c>
      <c r="B105" t="s">
        <v>13</v>
      </c>
      <c r="C105" t="s">
        <v>16</v>
      </c>
      <c r="D105" t="s">
        <v>112</v>
      </c>
      <c r="E105">
        <v>2027</v>
      </c>
      <c r="F105" t="s">
        <v>123</v>
      </c>
      <c r="G105" t="str">
        <f>DataPozemky[[#This Row],[cislo_vkladu]]</f>
        <v>V-25140/2025-101</v>
      </c>
      <c r="H105" t="str">
        <f>_xlfn.CONCAT("JC = ",ROUND(DataPozemky[[#This Row],[jednotkova_cena]],0))</f>
        <v>JC = 2107</v>
      </c>
      <c r="I105" t="s">
        <v>145</v>
      </c>
      <c r="J105" t="s">
        <v>199</v>
      </c>
      <c r="K105">
        <v>100000000</v>
      </c>
      <c r="L105">
        <v>47452</v>
      </c>
      <c r="M105">
        <v>26</v>
      </c>
      <c r="N105">
        <v>2107.3927337098539</v>
      </c>
    </row>
    <row r="106" spans="1:14" x14ac:dyDescent="0.25">
      <c r="A106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"Kunratice", "2352/30", "V-25140/2025-101", "JC = 2107"),</v>
      </c>
      <c r="B106" t="s">
        <v>13</v>
      </c>
      <c r="C106" t="s">
        <v>16</v>
      </c>
      <c r="D106" t="s">
        <v>113</v>
      </c>
      <c r="E106">
        <v>4783</v>
      </c>
      <c r="F106" t="s">
        <v>121</v>
      </c>
      <c r="G106" t="str">
        <f>DataPozemky[[#This Row],[cislo_vkladu]]</f>
        <v>V-25140/2025-101</v>
      </c>
      <c r="H106" t="str">
        <f>_xlfn.CONCAT("JC = ",ROUND(DataPozemky[[#This Row],[jednotkova_cena]],0))</f>
        <v>JC = 2107</v>
      </c>
      <c r="I106" t="s">
        <v>145</v>
      </c>
      <c r="J106" t="s">
        <v>199</v>
      </c>
      <c r="K106">
        <v>100000000</v>
      </c>
      <c r="L106">
        <v>47452</v>
      </c>
      <c r="M106">
        <v>26</v>
      </c>
      <c r="N106">
        <v>2107.3927337098539</v>
      </c>
    </row>
    <row r="107" spans="1:14" x14ac:dyDescent="0.25">
      <c r="A107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"Krč", "3218/5", "V-49813/2025-101", "JC = 893"),</v>
      </c>
      <c r="B107" t="s">
        <v>13</v>
      </c>
      <c r="C107" t="s">
        <v>17</v>
      </c>
      <c r="D107" t="s">
        <v>38</v>
      </c>
      <c r="E107">
        <v>147</v>
      </c>
      <c r="F107" t="s">
        <v>124</v>
      </c>
      <c r="G107" t="str">
        <f>DataPozemky[[#This Row],[cislo_vkladu]]</f>
        <v>V-49813/2025-101</v>
      </c>
      <c r="H107" t="str">
        <f>_xlfn.CONCAT("JC = ",ROUND(DataPozemky[[#This Row],[jednotkova_cena]],0))</f>
        <v>JC = 893</v>
      </c>
      <c r="I107" t="s">
        <v>149</v>
      </c>
      <c r="J107" t="s">
        <v>203</v>
      </c>
      <c r="K107">
        <v>262500</v>
      </c>
      <c r="L107">
        <v>294</v>
      </c>
      <c r="M107">
        <v>2</v>
      </c>
      <c r="N107">
        <v>892.85714285714289</v>
      </c>
    </row>
    <row r="108" spans="1:14" x14ac:dyDescent="0.25">
      <c r="A108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"Modřany", "3851/3", "V-83791/2025-101", "JC = 1370"),</v>
      </c>
      <c r="B108" t="s">
        <v>13</v>
      </c>
      <c r="C108" t="s">
        <v>18</v>
      </c>
      <c r="D108" t="s">
        <v>114</v>
      </c>
      <c r="E108">
        <v>947</v>
      </c>
      <c r="F108" t="s">
        <v>121</v>
      </c>
      <c r="G108" t="str">
        <f>DataPozemky[[#This Row],[cislo_vkladu]]</f>
        <v>V-83791/2025-101</v>
      </c>
      <c r="H108" t="str">
        <f>_xlfn.CONCAT("JC = ",ROUND(DataPozemky[[#This Row],[jednotkova_cena]],0))</f>
        <v>JC = 1370</v>
      </c>
      <c r="I108" t="s">
        <v>150</v>
      </c>
      <c r="J108" t="s">
        <v>204</v>
      </c>
      <c r="K108">
        <v>1600000</v>
      </c>
      <c r="L108">
        <v>1168</v>
      </c>
      <c r="M108">
        <v>2</v>
      </c>
      <c r="N108">
        <v>1369.8630136986301</v>
      </c>
    </row>
    <row r="109" spans="1:14" x14ac:dyDescent="0.25">
      <c r="A109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"Chodov", "3481/1", "V-28775/2025-101", "JC = 274"),</v>
      </c>
      <c r="B109" t="s">
        <v>13</v>
      </c>
      <c r="C109" t="s">
        <v>14</v>
      </c>
      <c r="D109" t="s">
        <v>21</v>
      </c>
      <c r="E109">
        <v>26034</v>
      </c>
      <c r="F109" t="s">
        <v>120</v>
      </c>
      <c r="G109" t="str">
        <f>DataPozemky[[#This Row],[cislo_vkladu]]</f>
        <v>V-28775/2025-101</v>
      </c>
      <c r="H109" t="str">
        <f>_xlfn.CONCAT("JC = ",ROUND(DataPozemky[[#This Row],[jednotkova_cena]],0))</f>
        <v>JC = 274</v>
      </c>
      <c r="I109" t="s">
        <v>151</v>
      </c>
      <c r="J109" t="s">
        <v>205</v>
      </c>
      <c r="K109">
        <v>8000000</v>
      </c>
      <c r="L109">
        <v>29204</v>
      </c>
      <c r="M109">
        <v>2</v>
      </c>
      <c r="N109">
        <v>273.93507738665937</v>
      </c>
    </row>
    <row r="110" spans="1:14" x14ac:dyDescent="0.25">
      <c r="A110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"Chodov", "2332/45", "V-8162/2025-101", "JC = 1010"),</v>
      </c>
      <c r="B110" t="s">
        <v>13</v>
      </c>
      <c r="C110" t="s">
        <v>14</v>
      </c>
      <c r="D110" t="s">
        <v>115</v>
      </c>
      <c r="E110">
        <v>194</v>
      </c>
      <c r="F110" t="s">
        <v>120</v>
      </c>
      <c r="G110" t="str">
        <f>DataPozemky[[#This Row],[cislo_vkladu]]</f>
        <v>V-8162/2025-101</v>
      </c>
      <c r="H110" t="str">
        <f>_xlfn.CONCAT("JC = ",ROUND(DataPozemky[[#This Row],[jednotkova_cena]],0))</f>
        <v>JC = 1010</v>
      </c>
      <c r="I110" t="s">
        <v>154</v>
      </c>
      <c r="J110" t="s">
        <v>208</v>
      </c>
      <c r="K110">
        <v>7200000</v>
      </c>
      <c r="L110">
        <v>7130</v>
      </c>
      <c r="M110">
        <v>7</v>
      </c>
      <c r="N110">
        <v>1009.817671809257</v>
      </c>
    </row>
    <row r="111" spans="1:14" x14ac:dyDescent="0.25">
      <c r="A111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"Chodov", "2332/44", "V-8162/2025-101", "JC = 1010"),</v>
      </c>
      <c r="B111" t="s">
        <v>13</v>
      </c>
      <c r="C111" t="s">
        <v>14</v>
      </c>
      <c r="D111" t="s">
        <v>116</v>
      </c>
      <c r="E111">
        <v>221</v>
      </c>
      <c r="F111" t="s">
        <v>121</v>
      </c>
      <c r="G111" t="str">
        <f>DataPozemky[[#This Row],[cislo_vkladu]]</f>
        <v>V-8162/2025-101</v>
      </c>
      <c r="H111" t="str">
        <f>_xlfn.CONCAT("JC = ",ROUND(DataPozemky[[#This Row],[jednotkova_cena]],0))</f>
        <v>JC = 1010</v>
      </c>
      <c r="I111" t="s">
        <v>154</v>
      </c>
      <c r="J111" t="s">
        <v>208</v>
      </c>
      <c r="K111">
        <v>7200000</v>
      </c>
      <c r="L111">
        <v>7130</v>
      </c>
      <c r="M111">
        <v>7</v>
      </c>
      <c r="N111">
        <v>1009.817671809257</v>
      </c>
    </row>
    <row r="112" spans="1:14" x14ac:dyDescent="0.25">
      <c r="A112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"Krč", "2220/2", "V-20993/2025-101", "JC = 1016"),</v>
      </c>
      <c r="B112" t="s">
        <v>13</v>
      </c>
      <c r="C112" t="s">
        <v>17</v>
      </c>
      <c r="D112" t="s">
        <v>117</v>
      </c>
      <c r="E112">
        <v>90</v>
      </c>
      <c r="F112" t="s">
        <v>121</v>
      </c>
      <c r="G112" t="str">
        <f>DataPozemky[[#This Row],[cislo_vkladu]]</f>
        <v>V-20993/2025-101</v>
      </c>
      <c r="H112" t="str">
        <f>_xlfn.CONCAT("JC = ",ROUND(DataPozemky[[#This Row],[jednotkova_cena]],0))</f>
        <v>JC = 1016</v>
      </c>
      <c r="I112" t="s">
        <v>155</v>
      </c>
      <c r="J112" t="s">
        <v>209</v>
      </c>
      <c r="K112">
        <v>2960000</v>
      </c>
      <c r="L112">
        <v>2912</v>
      </c>
      <c r="M112">
        <v>3</v>
      </c>
      <c r="N112">
        <v>1016.483516483516</v>
      </c>
    </row>
    <row r="113" spans="1:14" x14ac:dyDescent="0.25">
      <c r="A113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"Krč", "2220/1", "V-20993/2025-101", "JC = 1016"),</v>
      </c>
      <c r="B113" t="s">
        <v>13</v>
      </c>
      <c r="C113" t="s">
        <v>17</v>
      </c>
      <c r="D113" t="s">
        <v>118</v>
      </c>
      <c r="E113">
        <v>2812</v>
      </c>
      <c r="F113" t="s">
        <v>121</v>
      </c>
      <c r="G113" t="str">
        <f>DataPozemky[[#This Row],[cislo_vkladu]]</f>
        <v>V-20993/2025-101</v>
      </c>
      <c r="H113" t="str">
        <f>_xlfn.CONCAT("JC = ",ROUND(DataPozemky[[#This Row],[jednotkova_cena]],0))</f>
        <v>JC = 1016</v>
      </c>
      <c r="I113" t="s">
        <v>155</v>
      </c>
      <c r="J113" t="s">
        <v>209</v>
      </c>
      <c r="K113">
        <v>2960000</v>
      </c>
      <c r="L113">
        <v>2912</v>
      </c>
      <c r="M113">
        <v>3</v>
      </c>
      <c r="N113">
        <v>1016.483516483516</v>
      </c>
    </row>
    <row r="114" spans="1:14" x14ac:dyDescent="0.25">
      <c r="A114" t="str">
        <f>"("&amp;CHAR(34)&amp;DataPozemky[[#This Row],[okres]]&amp;CHAR(34)&amp;", "&amp;CHAR(34)&amp;DataPozemky[[#This Row],[kat_uzemi]]&amp;CHAR(34)&amp;", "&amp;CHAR(34)&amp;DataPozemky[[#This Row],[parcelni_cislo]]&amp;CHAR(34)&amp;", "&amp;CHAR(34)&amp;DataPozemky[[#This Row],[LV]]&amp;CHAR(34)&amp;", "&amp;CHAR(34)&amp;DataPozemky[[#This Row],[info_text]]&amp;CHAR(34)&amp;"),"</f>
        <v>("Hlavní město Praha", "Záběhlice", "2848/603", "V-46260/2025-101", "JC = 130"),</v>
      </c>
      <c r="B114" t="s">
        <v>13</v>
      </c>
      <c r="C114" t="s">
        <v>20</v>
      </c>
      <c r="D114" t="s">
        <v>119</v>
      </c>
      <c r="E114">
        <v>160</v>
      </c>
      <c r="F114" t="s">
        <v>120</v>
      </c>
      <c r="G114" t="str">
        <f>DataPozemky[[#This Row],[cislo_vkladu]]</f>
        <v>V-46260/2025-101</v>
      </c>
      <c r="H114" t="str">
        <f>_xlfn.CONCAT("JC = ",ROUND(DataPozemky[[#This Row],[jednotkova_cena]],0))</f>
        <v>JC = 130</v>
      </c>
      <c r="I114" t="s">
        <v>158</v>
      </c>
      <c r="J114" t="s">
        <v>212</v>
      </c>
      <c r="K114">
        <v>300000</v>
      </c>
      <c r="L114">
        <v>2309</v>
      </c>
      <c r="M114">
        <v>9</v>
      </c>
      <c r="N114">
        <v>129.926375054136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Analyza_Pozemku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Jan Trubač</cp:lastModifiedBy>
  <dcterms:created xsi:type="dcterms:W3CDTF">2026-10-01T12:50:37Z</dcterms:created>
  <dcterms:modified xsi:type="dcterms:W3CDTF">2026-10-01T12:51:48Z</dcterms:modified>
</cp:coreProperties>
</file>