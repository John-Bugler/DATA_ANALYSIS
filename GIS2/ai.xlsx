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/>
  <mc:AlternateContent xmlns:mc="http://schemas.openxmlformats.org/markup-compatibility/2006">
    <mc:Choice Requires="x15">
      <x15ac:absPath xmlns:x15ac="http://schemas.microsoft.com/office/spreadsheetml/2010/11/ac" url="E:\DATA_ANALYSIS\GIS2\"/>
    </mc:Choice>
  </mc:AlternateContent>
  <xr:revisionPtr revIDLastSave="0" documentId="13_ncr:1_{2DABB79C-1C93-4732-99A8-2D66238ACF6B}" xr6:coauthVersionLast="47" xr6:coauthVersionMax="47" xr10:uidLastSave="{00000000-0000-0000-0000-000000000000}"/>
  <bookViews>
    <workbookView xWindow="6742" yWindow="1244" windowWidth="49889" windowHeight="25723" activeTab="1" xr2:uid="{00000000-000D-0000-FFFF-FFFF00000000}"/>
  </bookViews>
  <sheets>
    <sheet name="data" sheetId="1" r:id="rId1"/>
    <sheet name="data (2)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2" l="1"/>
  <c r="H107" i="2"/>
  <c r="H106" i="2"/>
  <c r="H105" i="2"/>
  <c r="H102" i="2"/>
  <c r="H101" i="2"/>
  <c r="H100" i="2"/>
  <c r="H99" i="2"/>
  <c r="H96" i="2"/>
  <c r="H94" i="2"/>
  <c r="H93" i="2"/>
  <c r="H92" i="2"/>
  <c r="H89" i="2"/>
  <c r="H88" i="2"/>
  <c r="H87" i="2"/>
  <c r="H86" i="2"/>
  <c r="H85" i="2"/>
  <c r="H82" i="2"/>
  <c r="H79" i="2"/>
  <c r="H78" i="2"/>
  <c r="H77" i="2"/>
  <c r="H76" i="2"/>
  <c r="H75" i="2"/>
  <c r="H74" i="2"/>
  <c r="H73" i="2"/>
  <c r="H72" i="2"/>
  <c r="H71" i="2"/>
  <c r="H69" i="2"/>
  <c r="H67" i="2"/>
  <c r="H64" i="2"/>
  <c r="H62" i="2"/>
  <c r="H61" i="2"/>
  <c r="H60" i="2"/>
  <c r="H57" i="2"/>
  <c r="H56" i="2"/>
  <c r="H55" i="2"/>
  <c r="H54" i="2"/>
  <c r="H51" i="2"/>
  <c r="H50" i="2"/>
</calcChain>
</file>

<file path=xl/sharedStrings.xml><?xml version="1.0" encoding="utf-8"?>
<sst xmlns="http://schemas.openxmlformats.org/spreadsheetml/2006/main" count="2244" uniqueCount="401">
  <si>
    <t>id</t>
  </si>
  <si>
    <t>cislo_vkladu</t>
  </si>
  <si>
    <t>datum_podani</t>
  </si>
  <si>
    <t>nemovitost</t>
  </si>
  <si>
    <t>typ</t>
  </si>
  <si>
    <t>parcel_number</t>
  </si>
  <si>
    <t>okres</t>
  </si>
  <si>
    <t>kat_uzemi</t>
  </si>
  <si>
    <t>adresa</t>
  </si>
  <si>
    <t>popis</t>
  </si>
  <si>
    <t>#PARCEL</t>
  </si>
  <si>
    <t>#CELKOVA_VYMERA</t>
  </si>
  <si>
    <t>cenovy_udaj</t>
  </si>
  <si>
    <t>#JC</t>
  </si>
  <si>
    <t>UP</t>
  </si>
  <si>
    <t>kat_uzemi_nazev</t>
  </si>
  <si>
    <t>parsing_status</t>
  </si>
  <si>
    <t>pattern_used</t>
  </si>
  <si>
    <t>gml_id</t>
  </si>
  <si>
    <t>areaValue_m2</t>
  </si>
  <si>
    <t>beginLifespanVersion</t>
  </si>
  <si>
    <t>endLifespanVersion</t>
  </si>
  <si>
    <t>label</t>
  </si>
  <si>
    <t>nationalCadastralReference</t>
  </si>
  <si>
    <t>inspire_localId</t>
  </si>
  <si>
    <t>inspire_namespace</t>
  </si>
  <si>
    <t>refPoint_x</t>
  </si>
  <si>
    <t>refPoint_y</t>
  </si>
  <si>
    <t>refPoint_lon</t>
  </si>
  <si>
    <t>refPoint_lat</t>
  </si>
  <si>
    <t>geometry_posList</t>
  </si>
  <si>
    <t>ku_kod</t>
  </si>
  <si>
    <t>ku_nazev</t>
  </si>
  <si>
    <t>obec_kod</t>
  </si>
  <si>
    <t>obec_nazev</t>
  </si>
  <si>
    <t>okres_kod</t>
  </si>
  <si>
    <t>okres_nazev</t>
  </si>
  <si>
    <t>vusc_kod</t>
  </si>
  <si>
    <t>vusc_nazev</t>
  </si>
  <si>
    <t>okres_key</t>
  </si>
  <si>
    <t>ku_key</t>
  </si>
  <si>
    <t>parcela_key</t>
  </si>
  <si>
    <t>ruian_parcela_id</t>
  </si>
  <si>
    <t>so_kod</t>
  </si>
  <si>
    <t>so_typ_objektu_kod</t>
  </si>
  <si>
    <t>so_zpusob_vyuziti_kod</t>
  </si>
  <si>
    <t>so_dokonceni</t>
  </si>
  <si>
    <t>so_druh_konstrukce_kod</t>
  </si>
  <si>
    <t>tea_pocet_bytu</t>
  </si>
  <si>
    <t>tea_pocet_podlazi</t>
  </si>
  <si>
    <t>tea_zastavena_plocha</t>
  </si>
  <si>
    <t>tea_obestaveny_prostor</t>
  </si>
  <si>
    <t>tea_podlahova_plocha</t>
  </si>
  <si>
    <t>tea_pripojeni_kanalizace_kod</t>
  </si>
  <si>
    <t>tea_pripojeni_plyn_kod</t>
  </si>
  <si>
    <t>tea_pripojeni_vodovod_kod</t>
  </si>
  <si>
    <t>tea_vybaveni_vytahem_kod</t>
  </si>
  <si>
    <t>tea_zpusob_vytapeni_kod</t>
  </si>
  <si>
    <t>obec_kod_ruian</t>
  </si>
  <si>
    <t>so_typ_objektu_txt</t>
  </si>
  <si>
    <t>so_zpusob_vyuziti_txt</t>
  </si>
  <si>
    <t>so_druh_konstrukce_txt</t>
  </si>
  <si>
    <t>tea_pripojeni_kanalizace_txt</t>
  </si>
  <si>
    <t>tea_pripojeni_plyn_txt</t>
  </si>
  <si>
    <t>tea_pripojeni_vodovod_txt</t>
  </si>
  <si>
    <t>tea_vybaveni_vytahem_txt</t>
  </si>
  <si>
    <t>tea_zpusob_vytapeni_txt</t>
  </si>
  <si>
    <t>has_vodovod</t>
  </si>
  <si>
    <t>has_kanalizace</t>
  </si>
  <si>
    <t>has_plyn</t>
  </si>
  <si>
    <t>has_vytah</t>
  </si>
  <si>
    <t>Uzit_Plocha</t>
  </si>
  <si>
    <t>JC_calc</t>
  </si>
  <si>
    <t>V-90981/2017-101</t>
  </si>
  <si>
    <t>parcela</t>
  </si>
  <si>
    <t>zahrada</t>
  </si>
  <si>
    <t>2206/1</t>
  </si>
  <si>
    <t>Hlavní město Praha</t>
  </si>
  <si>
    <t>Dejvice</t>
  </si>
  <si>
    <t>Dejvice 2206/1</t>
  </si>
  <si>
    <t>č. 2206/1 Dejvice</t>
  </si>
  <si>
    <t>LR</t>
  </si>
  <si>
    <t>číslo a KU za ním</t>
  </si>
  <si>
    <t>CP.2396349101</t>
  </si>
  <si>
    <t>2022-09-28T23:08:11Z</t>
  </si>
  <si>
    <t>729272-2206/1</t>
  </si>
  <si>
    <t>CZ-00025712-CUZK_CP</t>
  </si>
  <si>
    <t>-745938.98 -1039309.81 -745875.89 -1039338.17 -745862.16 -1039344.34 -745839.93 -1039353 -745802.95 -1039367.4 -745803.51 -1039360.28 -745802.26 -1039353.4 -745798.24 -1039345.04 -745790.85 -1039337.13 -745826.15 -1039310.74 -745803.79 -1039276.75 -745813.11 -1039271.75 -745863.12 -1039244.84 -745900.03 -1039227.2 -745931.85 -1039276.22 -745932.3 -1039291.25 -745933.38 -1039294.84 -745938.98 -1039309.81</t>
  </si>
  <si>
    <t>Praha</t>
  </si>
  <si>
    <t>hlavní město praha</t>
  </si>
  <si>
    <t>dejvice</t>
  </si>
  <si>
    <t>2204</t>
  </si>
  <si>
    <t>Dejvice 2204</t>
  </si>
  <si>
    <t>č. 2204 Dejvice</t>
  </si>
  <si>
    <t>OV</t>
  </si>
  <si>
    <t>CP.2396347101</t>
  </si>
  <si>
    <t>729272-2204</t>
  </si>
  <si>
    <t>-746018.27 -1039193.15 -746024.65 -1039193.62 -746024.66 -1039216.74 -746032.53 -1039249.67 -745931.85 -1039276.22 -745900.03 -1039227.2 -745911.42 -1039199.43 -745950.51 -1039171.38 -745967.45 -1039183.28 -745993.86 -1039191.35 -746018.27 -1039193.15</t>
  </si>
  <si>
    <t>V-74360/2024-101</t>
  </si>
  <si>
    <t>ovocný sad</t>
  </si>
  <si>
    <t>3967</t>
  </si>
  <si>
    <t>Horní Počernice</t>
  </si>
  <si>
    <t>Horní Počernice 3967</t>
  </si>
  <si>
    <t>č. 3967 Horní Počernice</t>
  </si>
  <si>
    <t>CP.2286696101</t>
  </si>
  <si>
    <t>2022-09-28T23:44:58Z</t>
  </si>
  <si>
    <t>643777-3967</t>
  </si>
  <si>
    <t>-731234.81 -1041484.01 -731265.12 -1041517.31 -731296.92 -1041549 -731310.08 -1041559.13 -731314.55 -1041592.92 -731318.33 -1041624.91 -731287.24 -1041643.39 -731282.66 -1041644.84 -731260 -1041662.44 -731241.11 -1041537.3 -731235.27 -1041491.53 -731234.81 -1041484.01</t>
  </si>
  <si>
    <t>horní počernice</t>
  </si>
  <si>
    <t>V-20063/2024-101</t>
  </si>
  <si>
    <t>lesní pozemek</t>
  </si>
  <si>
    <t>4095/1</t>
  </si>
  <si>
    <t>Strašnice</t>
  </si>
  <si>
    <t>Strašnice 4095/1</t>
  </si>
  <si>
    <t>č. 4095/1 Strašnice</t>
  </si>
  <si>
    <t>CP.2632913101</t>
  </si>
  <si>
    <t>2022-09-28T21:35:26Z</t>
  </si>
  <si>
    <t>731943-4095/1</t>
  </si>
  <si>
    <t>-736279.55 -1045562.96 -736278.34 -1045570.76 -736253.92 -1045734.9 -736224.31 -1045730.45 -736228.05 -1045710.81 -736236.24 -1045645.32 -736250.9 -1045551.51 -736275.68 -1045561.45 -736279.55 -1045562.96</t>
  </si>
  <si>
    <t>strašnice</t>
  </si>
  <si>
    <t>4089/1</t>
  </si>
  <si>
    <t>Strašnice 4089/1</t>
  </si>
  <si>
    <t>č. 4089/1 Strašnice</t>
  </si>
  <si>
    <t>CP.2163965101</t>
  </si>
  <si>
    <t>2022-09-29T00:21:30Z</t>
  </si>
  <si>
    <t>731943-4089/1</t>
  </si>
  <si>
    <t>-736105.29 -1045476.26 -736127.77 -1045497.5 -736132.06 -1045512.72 -736133.02 -1045519.98 -736126.97 -1045555.54 -736116.12 -1045588.9 -736121.46 -1045590.5 -736107.79 -1045681.01 -736102.31 -1045710.53 -736101.89 -1045713.83 -736070.97 -1045702.45 -736089.55 -1045634.93 -736088.22 -1045630.7 -736081.2 -1045628.73 -736092.2 -1045554.74 -736105.29 -1045476.26</t>
  </si>
  <si>
    <t>jiná plocha</t>
  </si>
  <si>
    <t>4091/1</t>
  </si>
  <si>
    <t>Strašnice 4091/1</t>
  </si>
  <si>
    <t>č. 4091/1 Strašnice</t>
  </si>
  <si>
    <t>CP.2632910101</t>
  </si>
  <si>
    <t>731943-4091/1</t>
  </si>
  <si>
    <t>-736139.6 -1045676.94 -736149.14 -1045622.5 -736155.41 -1045583 -736160.36 -1045575.41 -736177.72 -1045558.19 -736185.55 -1045553.43 -736189.9 -1045551.49 -736164.53 -1045721.44 -736133.85 -1045716.64 -736139.6 -1045676.94</t>
  </si>
  <si>
    <t>V-31151/2024-101</t>
  </si>
  <si>
    <t>1092</t>
  </si>
  <si>
    <t>Vokovice</t>
  </si>
  <si>
    <t>Liboc 1092</t>
  </si>
  <si>
    <t>č. 1092 Liboc</t>
  </si>
  <si>
    <t>OB</t>
  </si>
  <si>
    <t>Liboc</t>
  </si>
  <si>
    <t>CP.2392919101</t>
  </si>
  <si>
    <t>729795-1092</t>
  </si>
  <si>
    <t>-749469.47 -1041444.78 -749468.99 -1041484.48 -749467.35 -1041483.65 -749467.27 -1041481.47 -749465.8 -1041443.48 -749465.48 -1041440.28 -749469.47 -1041444.78</t>
  </si>
  <si>
    <t>liboc</t>
  </si>
  <si>
    <t>695/3</t>
  </si>
  <si>
    <t>Vokovice 695/3</t>
  </si>
  <si>
    <t>č. 695/3 Vokovice</t>
  </si>
  <si>
    <t>CP.2389955101</t>
  </si>
  <si>
    <t>729418-695/3</t>
  </si>
  <si>
    <t>-749506.13 -1041380.01 -749498.73 -1041392.6 -749491.48 -1041391.45 -749485.75 -1041391.23 -749478.19 -1041391.68 -749473.98 -1041390.96 -749473.77 -1041390.02 -749499.61 -1041381.94 -749505.87 -1041380.09 -749506.13 -1041380.01</t>
  </si>
  <si>
    <t>vokovice</t>
  </si>
  <si>
    <t>695/1</t>
  </si>
  <si>
    <t>Vokovice 695/1</t>
  </si>
  <si>
    <t>č. 695/1 Vokovice</t>
  </si>
  <si>
    <t>CP.2389953101</t>
  </si>
  <si>
    <t>729418-695/1</t>
  </si>
  <si>
    <t>-749465.48 -1041440.28 -749447.95 -1041438.68 -749353.59 -1041399.21 -749341.31 -1041395.04 -749315.68 -1041388.48 -749313.35 -1041374.83 -749323.47 -1041373.6 -749332.63 -1041373.31 -749377.89 -1041376.94 -749465.49 -1041391.73 -749473.76 -1041393.18 -749478.15 -1041394.08 -749485.62 -1041393.76 -749491.3 -1041393.67 -749497.49 -1041394.71 -749494.52 -1041399.76 -749474.95 -1041422.74 -749472.09 -1041434.24 -749470.47 -1041440.74 -749469.47 -1041444.78 -749465.48 -1041440.28</t>
  </si>
  <si>
    <t>695/2</t>
  </si>
  <si>
    <t>Vokovice 695/2</t>
  </si>
  <si>
    <t>č. 695/2 Vokovice</t>
  </si>
  <si>
    <t>CP.2389954101</t>
  </si>
  <si>
    <t>729418-695/2</t>
  </si>
  <si>
    <t>-749376.54 -1041360.34 -749388.3 -1041361.78 -749401.62 -1041364.36 -749450.71 -1041376.9 -749468.74 -1041379.61 -749480.77 -1041379.79 -749498.02 -1041377.95 -749498.88 -1041378.95 -749471.06 -1041387.45 -749467.99 -1041388.45 -749465.81 -1041388.17 -749379.53 -1041373.93 -749339.22 -1041370.79 -749331.31 -1041370.1 -749323.38 -1041370.41 -749312.83 -1041371.73 -749312.44 -1041369.46 -749333.62 -1041366.33 -749347.6 -1041367.02 -749343.01 -1041359.19 -749343.11 -1041359.19 -749364 -1041358.88 -749376.54 -1041360.34</t>
  </si>
  <si>
    <t>V-53551/2025-101</t>
  </si>
  <si>
    <t>4092/3</t>
  </si>
  <si>
    <t>Strašnice 4092/3</t>
  </si>
  <si>
    <t>č. 4092/3 Strašnice</t>
  </si>
  <si>
    <t>CP.2163970101</t>
  </si>
  <si>
    <t>731943-4092/3</t>
  </si>
  <si>
    <t>-736189.9 -1045551.49 -736205.28 -1045545.63 -736217.24 -1045543.82 -736221.67 -1045543.52 -736221.19 -1045546.75 -736201.57 -1045675.09 -736194.9 -1045724.62 -736164.53 -1045721.44 -736189.9 -1045551.49</t>
  </si>
  <si>
    <t>V-24012/2025-101</t>
  </si>
  <si>
    <t>koryto vodního toku přirozené nebo upravené</t>
  </si>
  <si>
    <t>718/9</t>
  </si>
  <si>
    <t>Šeberov</t>
  </si>
  <si>
    <t>Šeberov 718/9</t>
  </si>
  <si>
    <t>č. 718/9 Šeberov</t>
  </si>
  <si>
    <t>VOP</t>
  </si>
  <si>
    <t>CP.62938620010</t>
  </si>
  <si>
    <t>2022-09-23T16:53:30Z</t>
  </si>
  <si>
    <t>762130-718/9</t>
  </si>
  <si>
    <t>-737698.95 -1053260.95 -737705.57 -1053245.17 -737709.88 -1053231.31 -737712.2 -1053223.87 -737713.56 -1053219.5 -737730.67 -1053183.84 -737735.35 -1053172.78 -737737.67 -1053167.31 -737738.13 -1053165.28 -737741.64 -1053149.93 -737744.64 -1053150.56 -737741 -1053168.08 -737732.96 -1053187.87 -737717.06 -1053220.74 -737708.47 -1053245.54 -737703.25 -1053262.74 -737702.34 -1053273.1 -737715.7 -1053303.77 -737720.93 -1053314.27 -737725.15 -1053320.26 -737736.65 -1053343.97 -737747.17 -1053370.36 -737760.37 -1053396.88 -737768.01 -1053412.21 -737764.16 -1053412.2 -737757.47 -1053398.29 -737744.36 -1053372.25 -737731.81 -1053346.18 -737721.22 -1053322.53 -737719.72 -1053320.84 -737712.39 -1053305.51 -737699.59 -1053273.57 -737699.52 -1053272.19 -737699.04 -1053262.77 -737698.95 -1053260.95</t>
  </si>
  <si>
    <t>šeberov</t>
  </si>
  <si>
    <t>orná půda</t>
  </si>
  <si>
    <t>1401/106</t>
  </si>
  <si>
    <t>Šeberov 1401/106</t>
  </si>
  <si>
    <t>č. 1401/106 Šeberov</t>
  </si>
  <si>
    <t>CP.62938617010</t>
  </si>
  <si>
    <t>762130-1401/106</t>
  </si>
  <si>
    <t>-737855.52 -1053187.61 -737853.6 -1053193.07 -737856.57 -1053204.32 -737859.59 -1053217.03 -737863.53 -1053230.79 -737873.44 -1053262.37 -737881.8 -1053274.71 -737884.21 -1053314.32 -737882.03 -1053348.04 -737881.77 -1053412.54 -737768.01 -1053412.21 -737760.37 -1053396.88 -737747.17 -1053370.36 -737736.65 -1053343.97 -737725.15 -1053320.26 -737720.93 -1053314.27 -737715.7 -1053303.77 -737702.34 -1053273.1 -737703.25 -1053262.74 -737708.47 -1053245.54 -737717.06 -1053220.74 -737732.96 -1053187.87 -737741 -1053168.08 -737744.64 -1053150.56 -737753.05 -1053152.35 -737770.14 -1053146.89 -737774.74 -1053146.5 -737799.38 -1053152.4 -737854.9 -1053177.75 -737855.52 -1053187.61</t>
  </si>
  <si>
    <t>ostatní komunikace</t>
  </si>
  <si>
    <t>1409/4</t>
  </si>
  <si>
    <t>Šeberov 1409/4</t>
  </si>
  <si>
    <t>č. 1409/4 Šeberov</t>
  </si>
  <si>
    <t>ZMK</t>
  </si>
  <si>
    <t>CP.2136821101</t>
  </si>
  <si>
    <t>2022-09-29T00:36:32Z</t>
  </si>
  <si>
    <t>762130-1409/4</t>
  </si>
  <si>
    <t>-737780.25 -1053143.67 -737799.38 -1053152.4 -737774.74 -1053146.5 -737770.14 -1053146.89 -737780.25 -1053143.67</t>
  </si>
  <si>
    <t>1409/5</t>
  </si>
  <si>
    <t>Šeberov 1409/5</t>
  </si>
  <si>
    <t>č. 1409/5 Šeberov</t>
  </si>
  <si>
    <t>CP.2136822101</t>
  </si>
  <si>
    <t>762130-1409/5</t>
  </si>
  <si>
    <t>-737854.9 -1053177.75 -737858.57 -1053179.43 -737855.52 -1053187.61 -737854.9 -1053177.75</t>
  </si>
  <si>
    <t>V-59949/2021-101</t>
  </si>
  <si>
    <t>1365</t>
  </si>
  <si>
    <t>Ruzyně</t>
  </si>
  <si>
    <t>Ruzyně 1365</t>
  </si>
  <si>
    <t>č. 1365 Ruzyně</t>
  </si>
  <si>
    <t>CP.2296467101</t>
  </si>
  <si>
    <t>2022-09-28T23:37:46Z</t>
  </si>
  <si>
    <t>729710-1365</t>
  </si>
  <si>
    <t>-751289.12 -1040757.71 -751288.07 -1040755.55 -751367.82 -1040722.45 -751368.41 -1040724.88 -751289.12 -1040757.71</t>
  </si>
  <si>
    <t>ruzyně</t>
  </si>
  <si>
    <t>1368</t>
  </si>
  <si>
    <t>Ruzyně 1368</t>
  </si>
  <si>
    <t>č. 1368 Ruzyně</t>
  </si>
  <si>
    <t>CP.2296470101</t>
  </si>
  <si>
    <t>729710-1368</t>
  </si>
  <si>
    <t>-751164.6 -1040613.37 -751165.86 -1040604.06 -751246.08 -1040615.31 -751297.59 -1040626.88 -751336.36 -1040631.27 -751342.38 -1040658 -751351.93 -1040682.18 -751278.34 -1040707.24 -751273.97 -1040678.6 -751173.38 -1040670.36 -751166.26 -1040633.3 -751164.6 -1040613.37</t>
  </si>
  <si>
    <t>1366</t>
  </si>
  <si>
    <t>Ruzyně 1366</t>
  </si>
  <si>
    <t>č. 1366 Ruzyně</t>
  </si>
  <si>
    <t>CP.2296468101</t>
  </si>
  <si>
    <t>729710-1366</t>
  </si>
  <si>
    <t>-751288.07 -1040755.55 -751278.81 -1040709.57 -751352.81 -1040684.42 -751367.82 -1040722.45 -751288.07 -1040755.55</t>
  </si>
  <si>
    <t>1364</t>
  </si>
  <si>
    <t>Ruzyně 1364</t>
  </si>
  <si>
    <t>č. 1364 Ruzyně</t>
  </si>
  <si>
    <t>CP.2296466101</t>
  </si>
  <si>
    <t>729710-1364</t>
  </si>
  <si>
    <t>-751393.75 -1040842.76 -751386.03 -1040839.84 -751375.23 -1040797.9 -751350.18 -1040793.27 -751324.84 -1040781.6 -751303.58 -1040774.09 -751294.15 -1040768.18 -751289.12 -1040757.71 -751368.41 -1040724.88 -751385.92 -1040797.39 -751392.62 -1040835.16 -751393.75 -1040842.76</t>
  </si>
  <si>
    <t>1367</t>
  </si>
  <si>
    <t>Ruzyně 1367</t>
  </si>
  <si>
    <t>č. 1367 Ruzyně</t>
  </si>
  <si>
    <t>CP.2296469101</t>
  </si>
  <si>
    <t>729710-1367</t>
  </si>
  <si>
    <t>-751278.81 -1040709.57 -751278.34 -1040707.24 -751351.93 -1040682.18 -751352.81 -1040684.42 -751278.81 -1040709.57</t>
  </si>
  <si>
    <t>V-198/2022-101</t>
  </si>
  <si>
    <t>2340/1</t>
  </si>
  <si>
    <t>Kunratice</t>
  </si>
  <si>
    <t>Kunratice 2340/1</t>
  </si>
  <si>
    <t>č. 2340/1 Kunratice</t>
  </si>
  <si>
    <t>CP.2141198101</t>
  </si>
  <si>
    <t>2022-09-29T00:28:44Z</t>
  </si>
  <si>
    <t>728314-2340/1</t>
  </si>
  <si>
    <t>-740428.54 -1050714.17 -740386 -1050749 -740375.97 -1050765.59 -740334.07 -1050765.77 -740292.32 -1050763.11 -740242.39 -1050759.93 -740211.32 -1050757.69 -740183.28 -1050759.32 -740185.33 -1050755.68 -740205.18 -1050736.01 -740221.11 -1050724.08 -740226.59 -1050718.77 -740231.08 -1050716.05 -740236.18 -1050711.03 -740251.48 -1050710.16 -740269.53 -1050707.96 -740295.4 -1050702.58 -740301.6 -1050706.58 -740336.56 -1050703.89 -740351.21 -1050712.41 -740372.48 -1050705.05 -740410.81 -1050706.16 -740413.34 -1050701.56 -740428.54 -1050714.17</t>
  </si>
  <si>
    <t>kunratice</t>
  </si>
  <si>
    <t>V-69847/2023-101</t>
  </si>
  <si>
    <t>906/15</t>
  </si>
  <si>
    <t>Točná 906/15</t>
  </si>
  <si>
    <t>č. 906/15 Točná</t>
  </si>
  <si>
    <t>OP</t>
  </si>
  <si>
    <t>Točná</t>
  </si>
  <si>
    <t>CP.3616976101</t>
  </si>
  <si>
    <t>2022-09-28T15:49:44Z</t>
  </si>
  <si>
    <t>652407-906/15</t>
  </si>
  <si>
    <t>-743383.06 -1054982.44 -743406.62 -1054981.81 -743393.26 -1055007.14 -743384.21 -1055018.99 -743357.72 -1055018.6 -743360.69 -1055014.36 -743383.06 -1054982.44</t>
  </si>
  <si>
    <t>točná</t>
  </si>
  <si>
    <t>4417/1</t>
  </si>
  <si>
    <t>Horní Počernice 4417/1</t>
  </si>
  <si>
    <t>č. 4417/1 Horní Počernice</t>
  </si>
  <si>
    <t>CP.2288978101</t>
  </si>
  <si>
    <t>643777-4417/1</t>
  </si>
  <si>
    <t>-730261.58 -1042848.39 -730230.74 -1042841.43 -730237.94 -1042829.31 -730247.66 -1042803.47 -730250.88 -1042782.27 -730306.57 -1042794.22 -730319.95 -1042797.83 -730321.23 -1042801.13 -730322.94 -1042802.78 -730325.06 -1042803.89 -730375.71 -1042818.37 -730376.46 -1042819.77 -730380.5 -1042835.28 -730391.72 -1042852.29 -730389.63 -1042853.09 -730362.79 -1042840.21 -730298.36 -1042850.54 -730266.59 -1042846.14 -730266.94 -1042849.93 -730264.75 -1042849.38 -730263.66 -1042853.15 -730261.58 -1042848.39</t>
  </si>
  <si>
    <t>228/1</t>
  </si>
  <si>
    <t>Černý Most 228/1</t>
  </si>
  <si>
    <t>č. 228/1 Černý Most</t>
  </si>
  <si>
    <t>Černý Most</t>
  </si>
  <si>
    <t>CP.2291875101</t>
  </si>
  <si>
    <t>731676-228/1</t>
  </si>
  <si>
    <t>-730713.12 -1043072 -730735.22 -1043070.23 -730746.75 -1043067.74 -730757.44 -1043064.62 -730759.05 -1043073.93 -730761.95 -1043102.35 -730739.01 -1043148.16 -730709.5 -1043130 -730704.95 -1043125.71 -730699.96 -1043108.33 -730690.2 -1043090.21 -730673.76 -1043076.27 -730661.46 -1043067.71 -730656.88 -1043059.08 -730663.64 -1043061.79 -730687.54 -1043068.3 -730713.12 -1043072</t>
  </si>
  <si>
    <t>černý most</t>
  </si>
  <si>
    <t>V-75546/2024-101</t>
  </si>
  <si>
    <t>514/6</t>
  </si>
  <si>
    <t>Hostivař</t>
  </si>
  <si>
    <t>Petrovice 514/6</t>
  </si>
  <si>
    <t>č. 514/6 Petrovice</t>
  </si>
  <si>
    <t>Petrovice</t>
  </si>
  <si>
    <t>CP.2257282101</t>
  </si>
  <si>
    <t>2022-09-28T23:52:14Z</t>
  </si>
  <si>
    <t>732613-514/6</t>
  </si>
  <si>
    <t>-734967.79 -1050071.45 -734970.79 -1050082.28 -734966.53 -1050071.28 -734967.79 -1050071.45</t>
  </si>
  <si>
    <t>petrovice</t>
  </si>
  <si>
    <t>514/2</t>
  </si>
  <si>
    <t>Petrovice 514/2</t>
  </si>
  <si>
    <t>č. 514/2 Petrovice</t>
  </si>
  <si>
    <t>CP.2257278101</t>
  </si>
  <si>
    <t>732613-514/2</t>
  </si>
  <si>
    <t>-734954.14 -1050069.61 -734939.95 -1050069.61 -734928.45 -1050066.14 -734954.14 -1050069.61</t>
  </si>
  <si>
    <t>2365/1</t>
  </si>
  <si>
    <t>Hostivař 2365/1</t>
  </si>
  <si>
    <t>č. 2365/1 Hostivař</t>
  </si>
  <si>
    <t>ZP</t>
  </si>
  <si>
    <t>CP.2253388101</t>
  </si>
  <si>
    <t>2022-09-28T23:59:21Z</t>
  </si>
  <si>
    <t>732052-2365/1</t>
  </si>
  <si>
    <t>-734419.21 -1049575.28 -734416.06 -1049574.74 -734432.15 -1049490.18 -734494.79 -1049490.58 -734538.06 -1049485.1 -734512.08 -1049500.15 -734489.54 -1049501.71 -734481.05 -1049546.79 -734525.27 -1049555.15 -734527.14 -1049564.84 -734516.18 -1049570.71 -734577.78 -1049587.56 -734563.05 -1049609.06 -734506.53 -1049592.41 -734422.95 -1049576.01 -734420.43 -1049575.52 -734419.21 -1049575.28</t>
  </si>
  <si>
    <t>hostivař</t>
  </si>
  <si>
    <t>514/5</t>
  </si>
  <si>
    <t>Petrovice 514/5</t>
  </si>
  <si>
    <t>č. 514/5 Petrovice</t>
  </si>
  <si>
    <t>CP.2257281101</t>
  </si>
  <si>
    <t>732613-514/5</t>
  </si>
  <si>
    <t>-734914.53 -1049988.51 -734899.99 -1050000.65 -734900.16 -1049998 -734913.25 -1049986.47 -734914.3 -1049981.62 -734914.53 -1049988.51</t>
  </si>
  <si>
    <t>2366</t>
  </si>
  <si>
    <t>Hostivař 2366</t>
  </si>
  <si>
    <t>č. 2366 Hostivař</t>
  </si>
  <si>
    <t>CP.2253392101</t>
  </si>
  <si>
    <t>732052-2366</t>
  </si>
  <si>
    <t>-734577.78 -1049587.56 -734516.18 -1049570.71 -734527.14 -1049564.84 -734525.27 -1049555.15 -734481.05 -1049546.79 -734489.54 -1049501.71 -734512.08 -1049500.15 -734538.06 -1049485.1 -734557.29 -1049544.11 -734606.99 -1049544.91 -734577.78 -1049587.56</t>
  </si>
  <si>
    <t>2365/3</t>
  </si>
  <si>
    <t>Hostivař 2365/3</t>
  </si>
  <si>
    <t>č. 2365/3 Hostivař</t>
  </si>
  <si>
    <t>CP.2253389101</t>
  </si>
  <si>
    <t>732052-2365/3</t>
  </si>
  <si>
    <t>-734294.64 -1049660.82 -734263.56 -1049644.19 -734257.8 -1049641.11 -734258.43 -1049628.64 -734261.19 -1049628.88 -734275.19 -1049629.82 -734289.32 -1049630.27 -734303.54 -1049630.87 -734314.27 -1049631.26 -734294.64 -1049660.82</t>
  </si>
  <si>
    <t>514/3</t>
  </si>
  <si>
    <t>Petrovice 514/3</t>
  </si>
  <si>
    <t>č. 514/3 Petrovice</t>
  </si>
  <si>
    <t>CP.2257279101</t>
  </si>
  <si>
    <t>732613-514/3</t>
  </si>
  <si>
    <t>-734910.64 -1050060.76 -734907.4 -1050059.78 -734900.49 -1050048.81 -734910.64 -1050060.76</t>
  </si>
  <si>
    <t>514/4</t>
  </si>
  <si>
    <t>Petrovice 514/4</t>
  </si>
  <si>
    <t>č. 514/4 Petrovice</t>
  </si>
  <si>
    <t>CP.2257280101</t>
  </si>
  <si>
    <t>732613-514/4</t>
  </si>
  <si>
    <t>-734896.8 -1050018.26 -734895.72 -1050026.29 -734895.09 -1050040.23 -734891.4 -1050034.35 -734896.8 -1050018.26</t>
  </si>
  <si>
    <t>537/41</t>
  </si>
  <si>
    <t>Háje 537/41</t>
  </si>
  <si>
    <t>č. 537/41 Háje</t>
  </si>
  <si>
    <t>Háje</t>
  </si>
  <si>
    <t>CP.2247932101</t>
  </si>
  <si>
    <t>728233-537/41</t>
  </si>
  <si>
    <t>-734928.45 -1050066.14 -734910.64 -1050060.76 -734900.49 -1050048.81 -734895.09 -1050040.23 -734895.72 -1050026.29 -734896.8 -1050018.26 -734899.32 -1050010.75 -734899.99 -1050000.65 -734914.53 -1049988.51 -734914.3 -1049981.62 -734915.3 -1049976.92 -734937.31 -1049968.04 -734965.55 -1049955.08 -734981.59 -1049941.09 -734988.95 -1050103.6 -734967.69 -1050093.19 -734969.94 -1050085.26 -734970.79 -1050082.28 -734967.79 -1050071.45 -734966.53 -1050071.28 -734965.88 -1050069.6 -734954.14 -1050069.61 -734928.45 -1050066.14</t>
  </si>
  <si>
    <t>háje</t>
  </si>
  <si>
    <t>V-37726/2022-101</t>
  </si>
  <si>
    <t>2447</t>
  </si>
  <si>
    <t>Hloubětín</t>
  </si>
  <si>
    <t>Hloubětín 2447</t>
  </si>
  <si>
    <t>č. 2447 Hloubětín</t>
  </si>
  <si>
    <t>CP.2233546101</t>
  </si>
  <si>
    <t>731234-2447</t>
  </si>
  <si>
    <t>-735165.6 -1043744.4 -735152.27 -1043775 -735137.97 -1043807.08 -735126.3 -1043832.71 -735096.27 -1043824.74 -734959.66 -1043786.27 -734987.46 -1043682.5 -735165.6 -1043744.4</t>
  </si>
  <si>
    <t>hloubětín</t>
  </si>
  <si>
    <t>2628</t>
  </si>
  <si>
    <t>Hloubětín 2628</t>
  </si>
  <si>
    <t>č. 2628 Hloubětín</t>
  </si>
  <si>
    <t>PZA/DZ</t>
  </si>
  <si>
    <t>CP.2233783101</t>
  </si>
  <si>
    <t>731234-2628</t>
  </si>
  <si>
    <t>-735137.12 -1043861.32 -735134.58 -1043868.21 -735122.52 -1043900.06 -735113.31 -1043923.11 -735108.28 -1043921.96 -735113.08 -1043896.93 -735119.46 -1043864.2 -735120.86 -1043857.03 -735126.61 -1043858.57 -735127.47 -1043858.8 -735131.67 -1043859.89 -735137.12 -1043861.32</t>
  </si>
  <si>
    <t>2627</t>
  </si>
  <si>
    <t>Hloubětín 2627</t>
  </si>
  <si>
    <t>č. 2627 Hloubětín</t>
  </si>
  <si>
    <t>CP.2233782101</t>
  </si>
  <si>
    <t>731234-2627</t>
  </si>
  <si>
    <t>-735165.6 -1043744.4 -735171.09 -1043746.69 -735158.46 -1043789.37 -735146.43 -1043828.75 -735145.45 -1043837.81 -735138.18 -1043835.94 -735134.86 -1043835.08 -735133.07 -1043834.58 -735126.3 -1043832.71 -735137.97 -1043807.08 -735152.27 -1043775 -735165.6 -1043744.4</t>
  </si>
  <si>
    <t>2452</t>
  </si>
  <si>
    <t>Hloubětín 2452</t>
  </si>
  <si>
    <t>č. 2452 Hloubětín</t>
  </si>
  <si>
    <t>CP.2233551101</t>
  </si>
  <si>
    <t>731234-2452</t>
  </si>
  <si>
    <t>-734934.24 -1043882.74 -734950.81 -1043819.5 -734966.71 -1043822.81 -735119.46 -1043864.2 -735113.08 -1043896.93 -735108.28 -1043921.96 -734934.24 -1043882.74</t>
  </si>
  <si>
    <t>V-31226/2022-101</t>
  </si>
  <si>
    <t>1714/3</t>
  </si>
  <si>
    <t>Hostivař 1714/3</t>
  </si>
  <si>
    <t>č. 1714/3 Hostivař</t>
  </si>
  <si>
    <t>CP.2913305101</t>
  </si>
  <si>
    <t>2022-09-28T19:51:11Z</t>
  </si>
  <si>
    <t>732052-1714/3</t>
  </si>
  <si>
    <t>-735946.69 -1046407.29 -735948.8 -1046401.06 -735955.17 -1046399.18 -735968.11 -1046408.51 -735973.25 -1046411.22 -735980.8 -1046413.3 -736014.91 -1046417.19 -736031.92 -1046429.22 -736038.63 -1046460.01 -736052.52 -1046523.7 -736062.26 -1046586.83 -736060.93 -1046581.75 -736050.03 -1046555.39 -736038.04 -1046531.36 -736021.92 -1046509.55 -736000.11 -1046486.77 -735985.46 -1046469.3 -735976.29 -1046456.7 -735960.27 -1046432.86 -735951.16 -1046417.05 -735948.6 -1046411.82 -735946.69 -1046407.29</t>
  </si>
  <si>
    <t>V-31225/2022-101</t>
  </si>
  <si>
    <t>Popisky řádků</t>
  </si>
  <si>
    <t>Celkový součet</t>
  </si>
  <si>
    <t>V-90981/2017-101 Celkem</t>
  </si>
  <si>
    <t>V-37726/2022-101 Celkem</t>
  </si>
  <si>
    <t>V-69847/2023-101 Celkem</t>
  </si>
  <si>
    <t>V-74360/2024-101 Celkem</t>
  </si>
  <si>
    <t>V-31225/2022-101 Celkem</t>
  </si>
  <si>
    <t>V-31226/2022-101 Celkem</t>
  </si>
  <si>
    <t>V-75546/2024-101 Celkem</t>
  </si>
  <si>
    <t>V-198/2022-101 Celkem</t>
  </si>
  <si>
    <t>V-59949/2021-101 Celkem</t>
  </si>
  <si>
    <t>V-20063/2024-101 Celkem</t>
  </si>
  <si>
    <t>V-53551/2025-101 Celkem</t>
  </si>
  <si>
    <t>V-24012/2025-101 Celkem</t>
  </si>
  <si>
    <t>V-31151/2024-101 Celkem</t>
  </si>
  <si>
    <t>Dejvice Celkem</t>
  </si>
  <si>
    <t>Hloubětín Celkem</t>
  </si>
  <si>
    <t>Horní Počernice Celkem</t>
  </si>
  <si>
    <t>Hostivař Celkem</t>
  </si>
  <si>
    <t>Kunratice Celkem</t>
  </si>
  <si>
    <t>Ruzyně Celkem</t>
  </si>
  <si>
    <t>Strašnice Celkem</t>
  </si>
  <si>
    <t>Šeberov Celkem</t>
  </si>
  <si>
    <t>Vokovice Celkem</t>
  </si>
  <si>
    <t>Součet z areaValue_m2</t>
  </si>
  <si>
    <t>Průměr z #JC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</si>
</sst>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Trubač" refreshedDate="46197.790542592593" createdVersion="8" refreshedVersion="8" minRefreshableVersion="3" recordCount="39" xr:uid="{F07587AF-51C3-4D16-86D6-BD9B2B71155F}">
  <cacheSource type="worksheet">
    <worksheetSource name="TblData3"/>
  </cacheSource>
  <cacheFields count="73">
    <cacheField name="id" numFmtId="0">
      <sharedItems containsSemiMixedTypes="0" containsString="0" containsNumber="1" containsInteger="1" minValue="22045" maxValue="99254"/>
    </cacheField>
    <cacheField name="cislo_vkladu" numFmtId="0">
      <sharedItems count="13">
        <s v="V-90981/2017-101"/>
        <s v="V-74360/2024-101"/>
        <s v="V-20063/2024-101"/>
        <s v="V-31151/2024-101"/>
        <s v="V-53551/2025-101"/>
        <s v="V-24012/2025-101"/>
        <s v="V-59949/2021-101"/>
        <s v="V-198/2022-101"/>
        <s v="V-69847/2023-101"/>
        <s v="V-75546/2024-101"/>
        <s v="V-37726/2022-101"/>
        <s v="V-31226/2022-101"/>
        <s v="V-31225/2022-101"/>
      </sharedItems>
    </cacheField>
    <cacheField name="datum_podani" numFmtId="164">
      <sharedItems containsSemiMixedTypes="0" containsNonDate="0" containsDate="1" containsString="0" minDate="2017-12-18T13:31:47" maxDate="2025-08-21T10:26:03"/>
    </cacheField>
    <cacheField name="nemovitost" numFmtId="0">
      <sharedItems/>
    </cacheField>
    <cacheField name="typ" numFmtId="0">
      <sharedItems/>
    </cacheField>
    <cacheField name="parcel_number" numFmtId="0">
      <sharedItems count="38">
        <s v="2206/1"/>
        <s v="2204"/>
        <s v="3967"/>
        <s v="4095/1"/>
        <s v="4089/1"/>
        <s v="4091/1"/>
        <s v="1092"/>
        <s v="695/3"/>
        <s v="695/1"/>
        <s v="695/2"/>
        <s v="4092/3"/>
        <s v="718/9"/>
        <s v="1401/106"/>
        <s v="1409/4"/>
        <s v="1409/5"/>
        <s v="1365"/>
        <s v="1368"/>
        <s v="1366"/>
        <s v="1364"/>
        <s v="1367"/>
        <s v="2340/1"/>
        <s v="906/15"/>
        <s v="4417/1"/>
        <s v="228/1"/>
        <s v="514/6"/>
        <s v="514/2"/>
        <s v="2365/1"/>
        <s v="514/5"/>
        <s v="2366"/>
        <s v="2365/3"/>
        <s v="514/3"/>
        <s v="514/4"/>
        <s v="537/41"/>
        <s v="2447"/>
        <s v="2628"/>
        <s v="2627"/>
        <s v="2452"/>
        <s v="1714/3"/>
      </sharedItems>
    </cacheField>
    <cacheField name="okres" numFmtId="0">
      <sharedItems/>
    </cacheField>
    <cacheField name="kat_uzemi" numFmtId="0">
      <sharedItems count="9">
        <s v="Dejvice"/>
        <s v="Horní Počernice"/>
        <s v="Strašnice"/>
        <s v="Vokovice"/>
        <s v="Šeberov"/>
        <s v="Ruzyně"/>
        <s v="Kunratice"/>
        <s v="Hostivař"/>
        <s v="Hloubětín"/>
      </sharedItems>
    </cacheField>
    <cacheField name="adresa" numFmtId="0">
      <sharedItems/>
    </cacheField>
    <cacheField name="popis" numFmtId="0">
      <sharedItems/>
    </cacheField>
    <cacheField name="#PARCEL" numFmtId="0">
      <sharedItems containsSemiMixedTypes="0" containsString="0" containsNumber="1" containsInteger="1" minValue="1" maxValue="9"/>
    </cacheField>
    <cacheField name="#CELKOVA_VYMERA" numFmtId="0">
      <sharedItems containsSemiMixedTypes="0" containsString="0" containsNumber="1" containsInteger="1" minValue="5367" maxValue="37961"/>
    </cacheField>
    <cacheField name="cenovy_udaj" numFmtId="0">
      <sharedItems containsSemiMixedTypes="0" containsString="0" containsNumber="1" containsInteger="1" minValue="469166" maxValue="21000000"/>
    </cacheField>
    <cacheField name="#JC" numFmtId="0">
      <sharedItems containsSemiMixedTypes="0" containsString="0" containsNumber="1" minValue="101.9" maxValue="1036.5999999999999"/>
    </cacheField>
    <cacheField name="UP" numFmtId="0">
      <sharedItems count="8">
        <s v="LR"/>
        <s v="OV"/>
        <s v="OB"/>
        <s v="VOP"/>
        <s v="ZMK"/>
        <s v="OP"/>
        <s v="ZP"/>
        <s v="PZA/DZ"/>
      </sharedItems>
    </cacheField>
    <cacheField name="kat_uzemi_nazev" numFmtId="0">
      <sharedItems/>
    </cacheField>
    <cacheField name="parsing_status" numFmtId="0">
      <sharedItems containsSemiMixedTypes="0" containsString="0" containsNumber="1" containsInteger="1" minValue="1" maxValue="1"/>
    </cacheField>
    <cacheField name="pattern_used" numFmtId="0">
      <sharedItems/>
    </cacheField>
    <cacheField name="gml_id" numFmtId="0">
      <sharedItems/>
    </cacheField>
    <cacheField name="areaValue_m2" numFmtId="0">
      <sharedItems containsSemiMixedTypes="0" containsString="0" containsNumber="1" containsInteger="1" minValue="7" maxValue="36832"/>
    </cacheField>
    <cacheField name="beginLifespanVersion" numFmtId="0">
      <sharedItems/>
    </cacheField>
    <cacheField name="endLifespanVersion" numFmtId="0">
      <sharedItems containsNonDate="0" containsString="0" containsBlank="1"/>
    </cacheField>
    <cacheField name="label" numFmtId="0">
      <sharedItems/>
    </cacheField>
    <cacheField name="nationalCadastralReference" numFmtId="0">
      <sharedItems/>
    </cacheField>
    <cacheField name="inspire_localId" numFmtId="0">
      <sharedItems/>
    </cacheField>
    <cacheField name="inspire_namespace" numFmtId="0">
      <sharedItems/>
    </cacheField>
    <cacheField name="refPoint_x" numFmtId="0">
      <sharedItems containsSemiMixedTypes="0" containsString="0" containsNumber="1" minValue="-751348.8" maxValue="-730299.76"/>
    </cacheField>
    <cacheField name="refPoint_y" numFmtId="0">
      <sharedItems containsSemiMixedTypes="0" containsString="0" containsNumber="1" minValue="-1054999.3500000001" maxValue="-1039220.25"/>
    </cacheField>
    <cacheField name="refPoint_lon" numFmtId="0">
      <sharedItems containsSemiMixedTypes="0" containsString="0" containsNumber="1" minValue="14.298734071225811" maxValue="14.59413899551889"/>
    </cacheField>
    <cacheField name="refPoint_lat" numFmtId="0">
      <sharedItems containsSemiMixedTypes="0" containsString="0" containsNumber="1" minValue="49.979991034159731" maxValue="50.117361816209758"/>
    </cacheField>
    <cacheField name="geometry_posList" numFmtId="0">
      <sharedItems longText="1"/>
    </cacheField>
    <cacheField name="ku_kod" numFmtId="0">
      <sharedItems containsSemiMixedTypes="0" containsString="0" containsNumber="1" containsInteger="1" minValue="643777" maxValue="762130"/>
    </cacheField>
    <cacheField name="ku_nazev" numFmtId="0">
      <sharedItems/>
    </cacheField>
    <cacheField name="obec_kod" numFmtId="0">
      <sharedItems containsSemiMixedTypes="0" containsString="0" containsNumber="1" containsInteger="1" minValue="554782" maxValue="554782"/>
    </cacheField>
    <cacheField name="obec_nazev" numFmtId="0">
      <sharedItems/>
    </cacheField>
    <cacheField name="okres_kod" numFmtId="0">
      <sharedItems containsNonDate="0" containsString="0" containsBlank="1"/>
    </cacheField>
    <cacheField name="okres_nazev" numFmtId="0">
      <sharedItems/>
    </cacheField>
    <cacheField name="vusc_kod" numFmtId="0">
      <sharedItems containsSemiMixedTypes="0" containsString="0" containsNumber="1" containsInteger="1" minValue="19" maxValue="19"/>
    </cacheField>
    <cacheField name="vusc_nazev" numFmtId="0">
      <sharedItems/>
    </cacheField>
    <cacheField name="okres_key" numFmtId="0">
      <sharedItems/>
    </cacheField>
    <cacheField name="ku_key" numFmtId="0">
      <sharedItems/>
    </cacheField>
    <cacheField name="parcela_key" numFmtId="0">
      <sharedItems/>
    </cacheField>
    <cacheField name="ruian_parcela_id" numFmtId="0">
      <sharedItems containsSemiMixedTypes="0" containsString="0" containsNumber="1" containsInteger="1" minValue="2136821101" maxValue="62938620010"/>
    </cacheField>
    <cacheField name="so_kod" numFmtId="0">
      <sharedItems containsNonDate="0" containsString="0" containsBlank="1"/>
    </cacheField>
    <cacheField name="so_typ_objektu_kod" numFmtId="0">
      <sharedItems containsNonDate="0" containsString="0" containsBlank="1"/>
    </cacheField>
    <cacheField name="so_zpusob_vyuziti_kod" numFmtId="0">
      <sharedItems containsNonDate="0" containsString="0" containsBlank="1"/>
    </cacheField>
    <cacheField name="so_dokonceni" numFmtId="0">
      <sharedItems containsNonDate="0" containsString="0" containsBlank="1"/>
    </cacheField>
    <cacheField name="so_druh_konstrukce_kod" numFmtId="0">
      <sharedItems containsNonDate="0" containsString="0" containsBlank="1"/>
    </cacheField>
    <cacheField name="tea_pocet_bytu" numFmtId="0">
      <sharedItems containsNonDate="0" containsString="0" containsBlank="1"/>
    </cacheField>
    <cacheField name="tea_pocet_podlazi" numFmtId="0">
      <sharedItems containsNonDate="0" containsString="0" containsBlank="1"/>
    </cacheField>
    <cacheField name="tea_zastavena_plocha" numFmtId="0">
      <sharedItems containsNonDate="0" containsString="0" containsBlank="1"/>
    </cacheField>
    <cacheField name="tea_obestaveny_prostor" numFmtId="0">
      <sharedItems containsNonDate="0" containsString="0" containsBlank="1"/>
    </cacheField>
    <cacheField name="tea_podlahova_plocha" numFmtId="0">
      <sharedItems containsNonDate="0" containsString="0" containsBlank="1"/>
    </cacheField>
    <cacheField name="tea_pripojeni_kanalizace_kod" numFmtId="0">
      <sharedItems containsNonDate="0" containsString="0" containsBlank="1"/>
    </cacheField>
    <cacheField name="tea_pripojeni_plyn_kod" numFmtId="0">
      <sharedItems containsNonDate="0" containsString="0" containsBlank="1"/>
    </cacheField>
    <cacheField name="tea_pripojeni_vodovod_kod" numFmtId="0">
      <sharedItems containsNonDate="0" containsString="0" containsBlank="1"/>
    </cacheField>
    <cacheField name="tea_vybaveni_vytahem_kod" numFmtId="0">
      <sharedItems containsNonDate="0" containsString="0" containsBlank="1"/>
    </cacheField>
    <cacheField name="tea_zpusob_vytapeni_kod" numFmtId="0">
      <sharedItems containsNonDate="0" containsString="0" containsBlank="1"/>
    </cacheField>
    <cacheField name="obec_kod_ruian" numFmtId="0">
      <sharedItems containsNonDate="0" containsString="0" containsBlank="1"/>
    </cacheField>
    <cacheField name="so_typ_objektu_txt" numFmtId="0">
      <sharedItems containsNonDate="0" containsString="0" containsBlank="1"/>
    </cacheField>
    <cacheField name="so_zpusob_vyuziti_txt" numFmtId="0">
      <sharedItems containsNonDate="0" containsString="0" containsBlank="1"/>
    </cacheField>
    <cacheField name="so_druh_konstrukce_txt" numFmtId="0">
      <sharedItems containsNonDate="0" containsString="0" containsBlank="1"/>
    </cacheField>
    <cacheField name="tea_pripojeni_kanalizace_txt" numFmtId="0">
      <sharedItems containsNonDate="0" containsString="0" containsBlank="1"/>
    </cacheField>
    <cacheField name="tea_pripojeni_plyn_txt" numFmtId="0">
      <sharedItems containsNonDate="0" containsString="0" containsBlank="1"/>
    </cacheField>
    <cacheField name="tea_pripojeni_vodovod_txt" numFmtId="0">
      <sharedItems containsNonDate="0" containsString="0" containsBlank="1"/>
    </cacheField>
    <cacheField name="tea_vybaveni_vytahem_txt" numFmtId="0">
      <sharedItems containsNonDate="0" containsString="0" containsBlank="1"/>
    </cacheField>
    <cacheField name="tea_zpusob_vytapeni_txt" numFmtId="0">
      <sharedItems containsNonDate="0" containsString="0" containsBlank="1"/>
    </cacheField>
    <cacheField name="has_vodovod" numFmtId="0">
      <sharedItems containsNonDate="0" containsString="0" containsBlank="1"/>
    </cacheField>
    <cacheField name="has_kanalizace" numFmtId="0">
      <sharedItems containsNonDate="0" containsString="0" containsBlank="1"/>
    </cacheField>
    <cacheField name="has_plyn" numFmtId="0">
      <sharedItems containsNonDate="0" containsString="0" containsBlank="1"/>
    </cacheField>
    <cacheField name="has_vytah" numFmtId="0">
      <sharedItems containsNonDate="0" containsString="0" containsBlank="1"/>
    </cacheField>
    <cacheField name="Uzit_Plocha" numFmtId="0">
      <sharedItems containsNonDate="0" containsString="0" containsBlank="1"/>
    </cacheField>
    <cacheField name="JC_calc" numFmtId="0">
      <sharedItems containsSemiMixedTypes="0" containsString="0" containsNumber="1" minValue="73.3" maxValue="1036.5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2046"/>
    <x v="0"/>
    <d v="2017-12-18T13:31:47"/>
    <s v="parcela"/>
    <s v="zahrada"/>
    <x v="0"/>
    <s v="Hlavní město Praha"/>
    <x v="0"/>
    <s v="Dejvice 2206/1"/>
    <s v="č. 2206/1 Dejvice"/>
    <n v="2"/>
    <n v="20257"/>
    <n v="21000000"/>
    <n v="1036.5999999999999"/>
    <x v="0"/>
    <s v="Dejvice"/>
    <n v="1"/>
    <s v="číslo a KU za ním"/>
    <s v="CP.2396349101"/>
    <n v="11166"/>
    <s v="2022-09-28T23:08:11Z"/>
    <m/>
    <s v="2206/1"/>
    <s v="729272-2206/1"/>
    <s v="CP.2396349101"/>
    <s v="CZ-00025712-CUZK_CP"/>
    <n v="-745869.15"/>
    <n v="-1039296.36"/>
    <n v="14.371787434583039"/>
    <n v="50.116808392185597"/>
    <s v="-745938.98 -1039309.81 -745875.89 -1039338.17 -745862.16 -1039344.34 -745839.93 -1039353 -745802.95 -1039367.4 -745803.51 -1039360.28 -745802.26 -1039353.4 -745798.24 -1039345.04 -745790.85 -1039337.13 -745826.15 -1039310.74 -745803.79 -1039276.75 -745813.11 -1039271.75 -745863.12 -1039244.84 -745900.03 -1039227.2 -745931.85 -1039276.22 -745932.3 -1039291.25 -745933.38 -1039294.84 -745938.98 -1039309.81"/>
    <n v="729272"/>
    <s v="Dejvice"/>
    <n v="554782"/>
    <s v="Praha"/>
    <m/>
    <s v="Hlavní město Praha"/>
    <n v="19"/>
    <s v="Hlavní město Praha"/>
    <s v="hlavní město praha"/>
    <s v="dejvice"/>
    <s v="2206/1"/>
    <n v="2396349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36.5999999999999"/>
  </r>
  <r>
    <n v="22045"/>
    <x v="0"/>
    <d v="2017-12-18T13:31:47"/>
    <s v="parcela"/>
    <s v="zahrada"/>
    <x v="1"/>
    <s v="Hlavní město Praha"/>
    <x v="0"/>
    <s v="Dejvice 2204"/>
    <s v="č. 2204 Dejvice"/>
    <n v="2"/>
    <n v="20257"/>
    <n v="21000000"/>
    <n v="1036.5999999999999"/>
    <x v="1"/>
    <s v="Dejvice"/>
    <n v="1"/>
    <s v="číslo a KU za ním"/>
    <s v="CP.2396347101"/>
    <n v="9091"/>
    <s v="2022-09-28T23:08:11Z"/>
    <m/>
    <s v="2204"/>
    <s v="729272-2204"/>
    <s v="CP.2396347101"/>
    <s v="CZ-00025712-CUZK_CP"/>
    <n v="-745970.18"/>
    <n v="-1039220.25"/>
    <n v="14.370242248568649"/>
    <n v="50.117361816209758"/>
    <s v="-746018.27 -1039193.15 -746024.65 -1039193.62 -746024.66 -1039216.74 -746032.53 -1039249.67 -745931.85 -1039276.22 -745900.03 -1039227.2 -745911.42 -1039199.43 -745950.51 -1039171.38 -745967.45 -1039183.28 -745993.86 -1039191.35 -746018.27 -1039193.15"/>
    <n v="729272"/>
    <s v="Dejvice"/>
    <n v="554782"/>
    <s v="Praha"/>
    <m/>
    <s v="Hlavní město Praha"/>
    <n v="19"/>
    <s v="Hlavní město Praha"/>
    <s v="hlavní město praha"/>
    <s v="dejvice"/>
    <s v="2204"/>
    <n v="2396347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36.5999999999999"/>
  </r>
  <r>
    <n v="34680"/>
    <x v="1"/>
    <d v="2024-12-11T11:20:51"/>
    <s v="parcela"/>
    <s v="ovocný sad"/>
    <x v="2"/>
    <s v="Hlavní město Praha"/>
    <x v="1"/>
    <s v="Horní Počernice 3967"/>
    <s v="č. 3967 Horní Počernice"/>
    <n v="1"/>
    <n v="7740"/>
    <n v="3850000"/>
    <n v="497.4"/>
    <x v="0"/>
    <s v="Horní Počernice"/>
    <n v="1"/>
    <s v="číslo a KU za ním"/>
    <s v="CP.2286696101"/>
    <n v="7740"/>
    <s v="2022-09-28T23:44:58Z"/>
    <m/>
    <s v="3967"/>
    <s v="643777-3967"/>
    <s v="CP.2286696101"/>
    <s v="CZ-00025712-CUZK_CP"/>
    <n v="-731275.26"/>
    <n v="-1041580.43"/>
    <n v="14.578294365480961"/>
    <n v="50.114256257747847"/>
    <s v="-731234.81 -1041484.01 -731265.12 -1041517.31 -731296.92 -1041549 -731310.08 -1041559.13 -731314.55 -1041592.92 -731318.33 -1041624.91 -731287.24 -1041643.39 -731282.66 -1041644.84 -731260 -1041662.44 -731241.11 -1041537.3 -731235.27 -1041491.53 -731234.81 -1041484.01"/>
    <n v="643777"/>
    <s v="Horní Počernice"/>
    <n v="554782"/>
    <s v="Praha"/>
    <m/>
    <s v="Hlavní město Praha"/>
    <n v="19"/>
    <s v="Hlavní město Praha"/>
    <s v="hlavní město praha"/>
    <s v="horní počernice"/>
    <s v="3967"/>
    <n v="2286696101"/>
    <m/>
    <m/>
    <m/>
    <m/>
    <m/>
    <m/>
    <m/>
    <m/>
    <m/>
    <m/>
    <m/>
    <m/>
    <m/>
    <m/>
    <m/>
    <m/>
    <m/>
    <m/>
    <m/>
    <m/>
    <m/>
    <m/>
    <m/>
    <m/>
    <m/>
    <m/>
    <m/>
    <m/>
    <m/>
    <n v="497.4"/>
  </r>
  <r>
    <n v="28286"/>
    <x v="2"/>
    <d v="2024-04-09T09:43:38"/>
    <s v="parcela"/>
    <s v="lesní pozemek"/>
    <x v="3"/>
    <s v="Hlavní město Praha"/>
    <x v="2"/>
    <s v="Strašnice 4095/1"/>
    <s v="č. 4095/1 Strašnice"/>
    <n v="3"/>
    <n v="17082"/>
    <n v="7089030"/>
    <n v="415"/>
    <x v="0"/>
    <s v="Strašnice"/>
    <n v="1"/>
    <s v="číslo a KU za ním"/>
    <s v="CP.2632913101"/>
    <n v="5336"/>
    <s v="2022-09-28T21:35:26Z"/>
    <m/>
    <s v="4095/1"/>
    <s v="731943-4095/1"/>
    <s v="CP.2632913101"/>
    <s v="CZ-00025712-CUZK_CP"/>
    <n v="-736259.86"/>
    <n v="-1045597.54"/>
    <n v="14.516823198310361"/>
    <n v="50.072432073319021"/>
    <s v="-736279.55 -1045562.96 -736278.34 -1045570.76 -736253.92 -1045734.9 -736224.31 -1045730.45 -736228.05 -1045710.81 -736236.24 -1045645.32 -736250.9 -1045551.51 -736275.68 -1045561.45 -736279.55 -1045562.96"/>
    <n v="731943"/>
    <s v="Strašnice"/>
    <n v="554782"/>
    <s v="Praha"/>
    <m/>
    <s v="Hlavní město Praha"/>
    <n v="19"/>
    <s v="Hlavní město Praha"/>
    <s v="hlavní město praha"/>
    <s v="strašnice"/>
    <s v="4095/1"/>
    <n v="2632913101"/>
    <m/>
    <m/>
    <m/>
    <m/>
    <m/>
    <m/>
    <m/>
    <m/>
    <m/>
    <m/>
    <m/>
    <m/>
    <m/>
    <m/>
    <m/>
    <m/>
    <m/>
    <m/>
    <m/>
    <m/>
    <m/>
    <m/>
    <m/>
    <m/>
    <m/>
    <m/>
    <m/>
    <m/>
    <m/>
    <n v="415"/>
  </r>
  <r>
    <n v="28287"/>
    <x v="2"/>
    <d v="2024-04-09T09:43:38"/>
    <s v="parcela"/>
    <s v="lesní pozemek"/>
    <x v="4"/>
    <s v="Hlavní město Praha"/>
    <x v="2"/>
    <s v="Strašnice 4089/1"/>
    <s v="č. 4089/1 Strašnice"/>
    <n v="3"/>
    <n v="17082"/>
    <n v="7089030"/>
    <n v="415"/>
    <x v="0"/>
    <s v="Strašnice"/>
    <n v="1"/>
    <s v="číslo a KU za ním"/>
    <s v="CP.2163965101"/>
    <n v="6985"/>
    <s v="2022-09-29T00:21:30Z"/>
    <m/>
    <s v="4089/1"/>
    <s v="731943-4089/1"/>
    <s v="CP.2163965101"/>
    <s v="CZ-00025712-CUZK_CP"/>
    <n v="-736109.62"/>
    <n v="-1045567.67"/>
    <n v="14.518846495857581"/>
    <n v="50.072880605894063"/>
    <s v="-736105.29 -1045476.26 -736127.77 -1045497.5 -736132.06 -1045512.72 -736133.02 -1045519.98 -736126.97 -1045555.54 -736116.12 -1045588.9 -736121.46 -1045590.5 -736107.79 -1045681.01 -736102.31 -1045710.53 -736101.89 -1045713.83 -736070.97 -1045702.45 -736089.55 -1045634.93 -736088.22 -1045630.7 -736081.2 -1045628.73 -736092.2 -1045554.74 -736105.29 -1045476.26"/>
    <n v="731943"/>
    <s v="Strašnice"/>
    <n v="554782"/>
    <s v="Praha"/>
    <m/>
    <s v="Hlavní město Praha"/>
    <n v="19"/>
    <s v="Hlavní město Praha"/>
    <s v="hlavní město praha"/>
    <s v="strašnice"/>
    <s v="4089/1"/>
    <n v="2163965101"/>
    <m/>
    <m/>
    <m/>
    <m/>
    <m/>
    <m/>
    <m/>
    <m/>
    <m/>
    <m/>
    <m/>
    <m/>
    <m/>
    <m/>
    <m/>
    <m/>
    <m/>
    <m/>
    <m/>
    <m/>
    <m/>
    <m/>
    <m/>
    <m/>
    <m/>
    <m/>
    <m/>
    <m/>
    <m/>
    <n v="415"/>
  </r>
  <r>
    <n v="28288"/>
    <x v="2"/>
    <d v="2024-04-09T09:43:38"/>
    <s v="parcela"/>
    <s v="jiná plocha"/>
    <x v="5"/>
    <s v="Hlavní město Praha"/>
    <x v="2"/>
    <s v="Strašnice 4091/1"/>
    <s v="č. 4091/1 Strašnice"/>
    <n v="3"/>
    <n v="17082"/>
    <n v="7089030"/>
    <n v="415"/>
    <x v="0"/>
    <s v="Strašnice"/>
    <n v="1"/>
    <s v="číslo a KU za ním"/>
    <s v="CP.2632910101"/>
    <n v="4761"/>
    <s v="2022-09-28T21:35:26Z"/>
    <m/>
    <s v="4091/1"/>
    <s v="731943-4091/1"/>
    <s v="CP.2632910101"/>
    <s v="CZ-00025712-CUZK_CP"/>
    <n v="-736168.65"/>
    <n v="-1045612.38"/>
    <n v="14.518113736509729"/>
    <n v="50.07241062114425"/>
    <s v="-736139.6 -1045676.94 -736149.14 -1045622.5 -736155.41 -1045583 -736160.36 -1045575.41 -736177.72 -1045558.19 -736185.55 -1045553.43 -736189.9 -1045551.49 -736164.53 -1045721.44 -736133.85 -1045716.64 -736139.6 -1045676.94"/>
    <n v="731943"/>
    <s v="Strašnice"/>
    <n v="554782"/>
    <s v="Praha"/>
    <m/>
    <s v="Hlavní město Praha"/>
    <n v="19"/>
    <s v="Hlavní město Praha"/>
    <s v="hlavní město praha"/>
    <s v="strašnice"/>
    <s v="4091/1"/>
    <n v="2632910101"/>
    <m/>
    <m/>
    <m/>
    <m/>
    <m/>
    <m/>
    <m/>
    <m/>
    <m/>
    <m/>
    <m/>
    <m/>
    <m/>
    <m/>
    <m/>
    <m/>
    <m/>
    <m/>
    <m/>
    <m/>
    <m/>
    <m/>
    <m/>
    <m/>
    <m/>
    <m/>
    <m/>
    <m/>
    <m/>
    <n v="415"/>
  </r>
  <r>
    <n v="28481"/>
    <x v="3"/>
    <d v="2024-05-29T16:45:42"/>
    <s v="parcela"/>
    <s v="jiná plocha"/>
    <x v="6"/>
    <s v="Hlavní město Praha"/>
    <x v="3"/>
    <s v="Liboc 1092"/>
    <s v="č. 1092 Liboc"/>
    <n v="4"/>
    <n v="7940"/>
    <n v="2900000"/>
    <n v="365.2"/>
    <x v="2"/>
    <s v="Liboc"/>
    <n v="1"/>
    <s v="číslo a KU za ním"/>
    <s v="CP.2392919101"/>
    <n v="111"/>
    <s v="2022-09-28T23:08:11Z"/>
    <m/>
    <s v="1092"/>
    <s v="729795-1092"/>
    <s v="CP.2392919101"/>
    <s v="CZ-00025712-CUZK_CP"/>
    <n v="-749466.82"/>
    <n v="-1041454.46"/>
    <n v="14.326111378985299"/>
    <n v="50.093147678628434"/>
    <s v="-749469.47 -1041444.78 -749468.99 -1041484.48 -749467.35 -1041483.65 -749467.27 -1041481.47 -749465.8 -1041443.48 -749465.48 -1041440.28 -749469.47 -1041444.78"/>
    <n v="729795"/>
    <s v="Liboc"/>
    <n v="554782"/>
    <s v="Praha"/>
    <m/>
    <s v="Hlavní město Praha"/>
    <n v="19"/>
    <s v="Hlavní město Praha"/>
    <s v="hlavní město praha"/>
    <s v="liboc"/>
    <s v="1092"/>
    <n v="2392919101"/>
    <m/>
    <m/>
    <m/>
    <m/>
    <m/>
    <m/>
    <m/>
    <m/>
    <m/>
    <m/>
    <m/>
    <m/>
    <m/>
    <m/>
    <m/>
    <m/>
    <m/>
    <m/>
    <m/>
    <m/>
    <m/>
    <m/>
    <m/>
    <m/>
    <m/>
    <m/>
    <m/>
    <m/>
    <m/>
    <n v="365.2"/>
  </r>
  <r>
    <n v="28478"/>
    <x v="3"/>
    <d v="2024-05-29T16:45:42"/>
    <s v="parcela"/>
    <s v="zahrada"/>
    <x v="7"/>
    <s v="Hlavní město Praha"/>
    <x v="3"/>
    <s v="Vokovice 695/3"/>
    <s v="č. 695/3 Vokovice"/>
    <n v="4"/>
    <n v="7940"/>
    <n v="2900000"/>
    <n v="365.2"/>
    <x v="0"/>
    <s v="Vokovice"/>
    <n v="1"/>
    <s v="číslo a KU za ním"/>
    <s v="CP.2389955101"/>
    <n v="174"/>
    <s v="2022-09-28T23:08:11Z"/>
    <m/>
    <s v="695/3"/>
    <s v="729418-695/3"/>
    <s v="CP.2389955101"/>
    <s v="CZ-00025712-CUZK_CP"/>
    <n v="-749492.85"/>
    <n v="-1041389.69"/>
    <n v="14.32562648747998"/>
    <n v="50.093692296147793"/>
    <s v="-749506.13 -1041380.01 -749498.73 -1041392.6 -749491.48 -1041391.45 -749485.75 -1041391.23 -749478.19 -1041391.68 -749473.98 -1041390.96 -749473.77 -1041390.02 -749499.61 -1041381.94 -749505.87 -1041380.09 -749506.13 -1041380.01"/>
    <n v="729418"/>
    <s v="Vokovice"/>
    <n v="554782"/>
    <s v="Praha"/>
    <m/>
    <s v="Hlavní město Praha"/>
    <n v="19"/>
    <s v="Hlavní město Praha"/>
    <s v="hlavní město praha"/>
    <s v="vokovice"/>
    <s v="695/3"/>
    <n v="2389955101"/>
    <m/>
    <m/>
    <m/>
    <m/>
    <m/>
    <m/>
    <m/>
    <m/>
    <m/>
    <m/>
    <m/>
    <m/>
    <m/>
    <m/>
    <m/>
    <m/>
    <m/>
    <m/>
    <m/>
    <m/>
    <m/>
    <m/>
    <m/>
    <m/>
    <m/>
    <m/>
    <m/>
    <m/>
    <m/>
    <n v="365.2"/>
  </r>
  <r>
    <n v="28479"/>
    <x v="3"/>
    <d v="2024-05-29T16:45:42"/>
    <s v="parcela"/>
    <s v="zahrada"/>
    <x v="8"/>
    <s v="Hlavní město Praha"/>
    <x v="3"/>
    <s v="Vokovice 695/1"/>
    <s v="č. 695/1 Vokovice"/>
    <n v="4"/>
    <n v="7940"/>
    <n v="2900000"/>
    <n v="365.2"/>
    <x v="0"/>
    <s v="Vokovice"/>
    <n v="1"/>
    <s v="číslo a KU za ním"/>
    <s v="CP.2389953101"/>
    <n v="5967"/>
    <s v="2022-09-28T23:08:11Z"/>
    <m/>
    <s v="695/1"/>
    <s v="729418-695/1"/>
    <s v="CP.2389953101"/>
    <s v="CZ-00025712-CUZK_CP"/>
    <n v="-749388.78"/>
    <n v="-1041400.09"/>
    <n v="14.327087169277229"/>
    <n v="50.093728413411839"/>
    <s v="-749465.48 -1041440.28 -749447.95 -1041438.68 -749353.59 -1041399.21 -749341.31 -1041395.04 -749315.68 -1041388.48 -749313.35 -1041374.83 -749323.47 -1041373.6 -749332.63 -1041373.31 -749377.89 -1041376.94 -749465.49 -1041391.73 -749473.76 -1041393.18 -749478.15 -1041394.08 -749485.62 -1041393.76 -749491.3 -1041393.67 -749497.49 -1041394.71 -749494.52 -1041399.76 -749474.95 -1041422.74 -749472.09 -1041434.24 -749470.47 -1041440.74 -749469.47 -1041444.78 -749465.48 -1041440.28"/>
    <n v="729418"/>
    <s v="Vokovice"/>
    <n v="554782"/>
    <s v="Praha"/>
    <m/>
    <s v="Hlavní město Praha"/>
    <n v="19"/>
    <s v="Hlavní město Praha"/>
    <s v="hlavní město praha"/>
    <s v="vokovice"/>
    <s v="695/1"/>
    <n v="2389953101"/>
    <m/>
    <m/>
    <m/>
    <m/>
    <m/>
    <m/>
    <m/>
    <m/>
    <m/>
    <m/>
    <m/>
    <m/>
    <m/>
    <m/>
    <m/>
    <m/>
    <m/>
    <m/>
    <m/>
    <m/>
    <m/>
    <m/>
    <m/>
    <m/>
    <m/>
    <m/>
    <m/>
    <m/>
    <m/>
    <n v="365.2"/>
  </r>
  <r>
    <n v="28480"/>
    <x v="3"/>
    <d v="2024-05-29T16:45:42"/>
    <s v="parcela"/>
    <s v="zahrada"/>
    <x v="9"/>
    <s v="Hlavní město Praha"/>
    <x v="3"/>
    <s v="Vokovice 695/2"/>
    <s v="č. 695/2 Vokovice"/>
    <n v="4"/>
    <n v="7940"/>
    <n v="2900000"/>
    <n v="365.2"/>
    <x v="0"/>
    <s v="Vokovice"/>
    <n v="1"/>
    <s v="číslo a KU za ním"/>
    <s v="CP.2389954101"/>
    <n v="1688"/>
    <s v="2022-09-28T23:08:11Z"/>
    <m/>
    <s v="695/2"/>
    <s v="729418-695/2"/>
    <s v="CP.2389954101"/>
    <s v="CZ-00025712-CUZK_CP"/>
    <n v="-749411.62"/>
    <n v="-1041375.46"/>
    <n v="14.326723626558829"/>
    <n v="50.093919507899187"/>
    <s v="-749376.54 -1041360.34 -749388.3 -1041361.78 -749401.62 -1041364.36 -749450.71 -1041376.9 -749468.74 -1041379.61 -749480.77 -1041379.79 -749498.02 -1041377.95 -749498.88 -1041378.95 -749471.06 -1041387.45 -749467.99 -1041388.45 -749465.81 -1041388.17 -749379.53 -1041373.93 -749339.22 -1041370.79 -749331.31 -1041370.1 -749323.38 -1041370.41 -749312.83 -1041371.73 -749312.44 -1041369.46 -749333.62 -1041366.33 -749347.6 -1041367.02 -749343.01 -1041359.19 -749343.11 -1041359.19 -749364 -1041358.88 -749376.54 -1041360.34"/>
    <n v="729418"/>
    <s v="Vokovice"/>
    <n v="554782"/>
    <s v="Praha"/>
    <m/>
    <s v="Hlavní město Praha"/>
    <n v="19"/>
    <s v="Hlavní město Praha"/>
    <s v="hlavní město praha"/>
    <s v="vokovice"/>
    <s v="695/2"/>
    <n v="2389954101"/>
    <m/>
    <m/>
    <m/>
    <m/>
    <m/>
    <m/>
    <m/>
    <m/>
    <m/>
    <m/>
    <m/>
    <m/>
    <m/>
    <m/>
    <m/>
    <m/>
    <m/>
    <m/>
    <m/>
    <m/>
    <m/>
    <m/>
    <m/>
    <m/>
    <m/>
    <m/>
    <m/>
    <m/>
    <m/>
    <n v="365.2"/>
  </r>
  <r>
    <n v="99254"/>
    <x v="4"/>
    <d v="2025-08-21T10:26:03"/>
    <s v="parcela"/>
    <s v="lesní pozemek"/>
    <x v="10"/>
    <s v="Hlavní město Praha"/>
    <x v="2"/>
    <s v="Strašnice 4092/3"/>
    <s v="č. 4092/3 Strašnice"/>
    <n v="1"/>
    <n v="5367"/>
    <n v="1526613"/>
    <n v="319"/>
    <x v="0"/>
    <s v="Strašnice"/>
    <n v="1"/>
    <s v="číslo a KU za ním"/>
    <s v="CP.2163970101"/>
    <n v="5367"/>
    <s v="2022-09-29T00:21:30Z"/>
    <m/>
    <s v="4092/3"/>
    <s v="731943-4092/3"/>
    <s v="CP.2163970101"/>
    <s v="CZ-00025712-CUZK_CP"/>
    <n v="-736199.43"/>
    <n v="-1045604.74"/>
    <n v="14.51767326197551"/>
    <n v="50.072441310457663"/>
    <s v="-736189.9 -1045551.49 -736205.28 -1045545.63 -736217.24 -1045543.82 -736221.67 -1045543.52 -736221.19 -1045546.75 -736201.57 -1045675.09 -736194.9 -1045724.62 -736164.53 -1045721.44 -736189.9 -1045551.49"/>
    <n v="731943"/>
    <s v="Strašnice"/>
    <n v="554782"/>
    <s v="Praha"/>
    <m/>
    <s v="Hlavní město Praha"/>
    <n v="19"/>
    <s v="Hlavní město Praha"/>
    <s v="hlavní město praha"/>
    <s v="strašnice"/>
    <s v="4092/3"/>
    <n v="2163970101"/>
    <m/>
    <m/>
    <m/>
    <m/>
    <m/>
    <m/>
    <m/>
    <m/>
    <m/>
    <m/>
    <m/>
    <m/>
    <m/>
    <m/>
    <m/>
    <m/>
    <m/>
    <m/>
    <m/>
    <m/>
    <m/>
    <m/>
    <m/>
    <m/>
    <m/>
    <m/>
    <m/>
    <m/>
    <m/>
    <n v="284.39999999999998"/>
  </r>
  <r>
    <n v="97516"/>
    <x v="5"/>
    <d v="2025-04-16T11:22:17"/>
    <s v="parcela"/>
    <s v="koryto vodního toku přirozené nebo upravené"/>
    <x v="11"/>
    <s v="Hlavní město Praha"/>
    <x v="4"/>
    <s v="Šeberov 718/9"/>
    <s v="č. 718/9 Šeberov"/>
    <n v="4"/>
    <n v="37961"/>
    <n v="8200000"/>
    <n v="216"/>
    <x v="3"/>
    <s v="Šeberov"/>
    <n v="1"/>
    <s v="číslo a KU za ním"/>
    <s v="CP.62938620010"/>
    <n v="1054"/>
    <s v="2022-09-23T16:53:30Z"/>
    <m/>
    <s v="718/9"/>
    <s v="762130-718/9"/>
    <s v="CP.62938620010"/>
    <s v="CZ-00025712-CUZK_CP"/>
    <n v="-737706.38"/>
    <n v="-1053288.19"/>
    <n v="14.511319260231129"/>
    <n v="50.002160465270613"/>
    <s v="-737698.95 -1053260.95 -737705.57 -1053245.17 -737709.88 -1053231.31 -737712.2 -1053223.87 -737713.56 -1053219.5 -737730.67 -1053183.84 -737735.35 -1053172.78 -737737.67 -1053167.31 -737738.13 -1053165.28 -737741.64 -1053149.93 -737744.64 -1053150.56 -737741 -1053168.08 -737732.96 -1053187.87 -737717.06 -1053220.74 -737708.47 -1053245.54 -737703.25 -1053262.74 -737702.34 -1053273.1 -737715.7 -1053303.77 -737720.93 -1053314.27 -737725.15 -1053320.26 -737736.65 -1053343.97 -737747.17 -1053370.36 -737760.37 -1053396.88 -737768.01 -1053412.21 -737764.16 -1053412.2 -737757.47 -1053398.29 -737744.36 -1053372.25 -737731.81 -1053346.18 -737721.22 -1053322.53 -737719.72 -1053320.84 -737712.39 -1053305.51 -737699.59 -1053273.57 -737699.52 -1053272.19 -737699.04 -1053262.77 -737698.95 -1053260.95"/>
    <n v="762130"/>
    <s v="Šeberov"/>
    <n v="554782"/>
    <s v="Praha"/>
    <m/>
    <s v="Hlavní město Praha"/>
    <n v="19"/>
    <s v="Hlavní město Praha"/>
    <s v="hlavní město praha"/>
    <s v="šeberov"/>
    <s v="718/9"/>
    <n v="62938620010"/>
    <m/>
    <m/>
    <m/>
    <m/>
    <m/>
    <m/>
    <m/>
    <m/>
    <m/>
    <m/>
    <m/>
    <m/>
    <m/>
    <m/>
    <m/>
    <m/>
    <m/>
    <m/>
    <m/>
    <m/>
    <m/>
    <m/>
    <m/>
    <m/>
    <m/>
    <m/>
    <m/>
    <m/>
    <m/>
    <n v="216"/>
  </r>
  <r>
    <n v="97517"/>
    <x v="5"/>
    <d v="2025-04-16T11:22:17"/>
    <s v="parcela"/>
    <s v="orná půda"/>
    <x v="12"/>
    <s v="Hlavní město Praha"/>
    <x v="4"/>
    <s v="Šeberov 1401/106"/>
    <s v="č. 1401/106 Šeberov"/>
    <n v="4"/>
    <n v="37961"/>
    <n v="8200000"/>
    <n v="216"/>
    <x v="0"/>
    <s v="Šeberov"/>
    <n v="1"/>
    <s v="číslo a KU za ním"/>
    <s v="CP.62938617010"/>
    <n v="36832"/>
    <s v="2022-09-23T16:53:30Z"/>
    <m/>
    <s v="1401/106"/>
    <s v="762130-1401/106"/>
    <s v="CP.62938617010"/>
    <s v="CZ-00025712-CUZK_CP"/>
    <n v="-737796.44"/>
    <n v="-1053262.6100000001"/>
    <n v="14.510026243515229"/>
    <n v="50.002278919334167"/>
    <s v="-737855.52 -1053187.61 -737853.6 -1053193.07 -737856.57 -1053204.32 -737859.59 -1053217.03 -737863.53 -1053230.79 -737873.44 -1053262.37 -737881.8 -1053274.71 -737884.21 -1053314.32 -737882.03 -1053348.04 -737881.77 -1053412.54 -737768.01 -1053412.21 -737760.37 -1053396.88 -737747.17 -1053370.36 -737736.65 -1053343.97 -737725.15 -1053320.26 -737720.93 -1053314.27 -737715.7 -1053303.77 -737702.34 -1053273.1 -737703.25 -1053262.74 -737708.47 -1053245.54 -737717.06 -1053220.74 -737732.96 -1053187.87 -737741 -1053168.08 -737744.64 -1053150.56 -737753.05 -1053152.35 -737770.14 -1053146.89 -737774.74 -1053146.5 -737799.38 -1053152.4 -737854.9 -1053177.75 -737855.52 -1053187.61"/>
    <n v="762130"/>
    <s v="Šeberov"/>
    <n v="554782"/>
    <s v="Praha"/>
    <m/>
    <s v="Hlavní město Praha"/>
    <n v="19"/>
    <s v="Hlavní město Praha"/>
    <s v="hlavní město praha"/>
    <s v="šeberov"/>
    <s v="1401/106"/>
    <n v="62938617010"/>
    <m/>
    <m/>
    <m/>
    <m/>
    <m/>
    <m/>
    <m/>
    <m/>
    <m/>
    <m/>
    <m/>
    <m/>
    <m/>
    <m/>
    <m/>
    <m/>
    <m/>
    <m/>
    <m/>
    <m/>
    <m/>
    <m/>
    <m/>
    <m/>
    <m/>
    <m/>
    <m/>
    <m/>
    <m/>
    <n v="216"/>
  </r>
  <r>
    <n v="97514"/>
    <x v="5"/>
    <d v="2025-04-16T11:22:17"/>
    <s v="parcela"/>
    <s v="ostatní komunikace"/>
    <x v="13"/>
    <s v="Hlavní město Praha"/>
    <x v="4"/>
    <s v="Šeberov 1409/4"/>
    <s v="č. 1409/4 Šeberov"/>
    <n v="4"/>
    <n v="37961"/>
    <n v="8200000"/>
    <n v="216"/>
    <x v="4"/>
    <s v="Šeberov"/>
    <n v="1"/>
    <s v="číslo a KU za ním"/>
    <s v="CP.2136821101"/>
    <n v="57"/>
    <s v="2022-09-29T00:36:32Z"/>
    <m/>
    <s v="1409/4"/>
    <s v="762130-1409/4"/>
    <s v="CP.2136821101"/>
    <s v="CZ-00025712-CUZK_CP"/>
    <n v="-737784.57"/>
    <n v="-1053148.03"/>
    <n v="14.50997428429584"/>
    <n v="50.00331411464844"/>
    <s v="-737780.25 -1053143.67 -737799.38 -1053152.4 -737774.74 -1053146.5 -737770.14 -1053146.89 -737780.25 -1053143.67"/>
    <n v="762130"/>
    <s v="Šeberov"/>
    <n v="554782"/>
    <s v="Praha"/>
    <m/>
    <s v="Hlavní město Praha"/>
    <n v="19"/>
    <s v="Hlavní město Praha"/>
    <s v="hlavní město praha"/>
    <s v="šeberov"/>
    <s v="1409/4"/>
    <n v="2136821101"/>
    <m/>
    <m/>
    <m/>
    <m/>
    <m/>
    <m/>
    <m/>
    <m/>
    <m/>
    <m/>
    <m/>
    <m/>
    <m/>
    <m/>
    <m/>
    <m/>
    <m/>
    <m/>
    <m/>
    <m/>
    <m/>
    <m/>
    <m/>
    <m/>
    <m/>
    <m/>
    <m/>
    <m/>
    <m/>
    <n v="216"/>
  </r>
  <r>
    <n v="97515"/>
    <x v="5"/>
    <d v="2025-04-16T11:22:17"/>
    <s v="parcela"/>
    <s v="ostatní komunikace"/>
    <x v="14"/>
    <s v="Hlavní město Praha"/>
    <x v="4"/>
    <s v="Šeberov 1409/5"/>
    <s v="č. 1409/5 Šeberov"/>
    <n v="4"/>
    <n v="37961"/>
    <n v="8200000"/>
    <n v="216"/>
    <x v="4"/>
    <s v="Šeberov"/>
    <n v="1"/>
    <s v="číslo a KU za ním"/>
    <s v="CP.2136822101"/>
    <n v="18"/>
    <s v="2022-09-29T00:36:32Z"/>
    <m/>
    <s v="1409/5"/>
    <s v="762130-1409/5"/>
    <s v="CP.2136822101"/>
    <s v="CZ-00025712-CUZK_CP"/>
    <n v="-737856.29"/>
    <n v="-1053181.17"/>
    <n v="14.50904545191872"/>
    <n v="50.002931718994908"/>
    <s v="-737854.9 -1053177.75 -737858.57 -1053179.43 -737855.52 -1053187.61 -737854.9 -1053177.75"/>
    <n v="762130"/>
    <s v="Šeberov"/>
    <n v="554782"/>
    <s v="Praha"/>
    <m/>
    <s v="Hlavní město Praha"/>
    <n v="19"/>
    <s v="Hlavní město Praha"/>
    <s v="hlavní město praha"/>
    <s v="šeberov"/>
    <s v="1409/5"/>
    <n v="2136822101"/>
    <m/>
    <m/>
    <m/>
    <m/>
    <m/>
    <m/>
    <m/>
    <m/>
    <m/>
    <m/>
    <m/>
    <m/>
    <m/>
    <m/>
    <m/>
    <m/>
    <m/>
    <m/>
    <m/>
    <m/>
    <m/>
    <m/>
    <m/>
    <m/>
    <m/>
    <m/>
    <m/>
    <m/>
    <m/>
    <n v="216"/>
  </r>
  <r>
    <n v="32369"/>
    <x v="6"/>
    <d v="2021-08-05T08:07:27"/>
    <s v="parcela"/>
    <s v="lesní pozemek"/>
    <x v="15"/>
    <s v="Hlavní město Praha"/>
    <x v="5"/>
    <s v="Ruzyně 1365"/>
    <s v="č. 1365 Ruzyně"/>
    <n v="5"/>
    <n v="19641"/>
    <n v="3122919"/>
    <n v="159"/>
    <x v="2"/>
    <s v="Ruzyně"/>
    <n v="1"/>
    <s v="číslo a KU za ním"/>
    <s v="CP.2296467101"/>
    <n v="210"/>
    <s v="2022-09-28T23:37:46Z"/>
    <m/>
    <s v="1365"/>
    <s v="729710-1365"/>
    <s v="CP.2296467101"/>
    <s v="CZ-00025712-CUZK_CP"/>
    <n v="-751330.89"/>
    <n v="-1040739.97"/>
    <n v="14.29893041531081"/>
    <n v="50.097201563123221"/>
    <s v="-751289.12 -1040757.71 -751288.07 -1040755.55 -751367.82 -1040722.45 -751368.41 -1040724.88 -751289.12 -1040757.71"/>
    <n v="729710"/>
    <s v="Ruzyně"/>
    <n v="554782"/>
    <s v="Praha"/>
    <m/>
    <s v="Hlavní město Praha"/>
    <n v="19"/>
    <s v="Hlavní město Praha"/>
    <s v="hlavní město praha"/>
    <s v="ruzyně"/>
    <s v="1365"/>
    <n v="2296467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32371"/>
    <x v="6"/>
    <d v="2021-08-05T08:07:27"/>
    <s v="parcela"/>
    <s v="lesní pozemek"/>
    <x v="16"/>
    <s v="Hlavní město Praha"/>
    <x v="5"/>
    <s v="Ruzyně 1368"/>
    <s v="č. 1368 Ruzyně"/>
    <n v="5"/>
    <n v="19641"/>
    <n v="3122919"/>
    <n v="159"/>
    <x v="2"/>
    <s v="Ruzyně"/>
    <n v="1"/>
    <s v="číslo a KU za ním"/>
    <s v="CP.2296470101"/>
    <n v="11336"/>
    <s v="2022-09-28T23:37:46Z"/>
    <m/>
    <s v="1368"/>
    <s v="729710-1368"/>
    <s v="CP.2296470101"/>
    <s v="CZ-00025712-CUZK_CP"/>
    <n v="-751263.79"/>
    <n v="-1040653.19"/>
    <n v="14.29969202216872"/>
    <n v="50.098057575806003"/>
    <s v="-751164.6 -1040613.37 -751165.86 -1040604.06 -751246.08 -1040615.31 -751297.59 -1040626.88 -751336.36 -1040631.27 -751342.38 -1040658 -751351.93 -1040682.18 -751278.34 -1040707.24 -751273.97 -1040678.6 -751173.38 -1040670.36 -751166.26 -1040633.3 -751164.6 -1040613.37"/>
    <n v="729710"/>
    <s v="Ruzyně"/>
    <n v="554782"/>
    <s v="Praha"/>
    <m/>
    <s v="Hlavní město Praha"/>
    <n v="19"/>
    <s v="Hlavní město Praha"/>
    <s v="hlavní město praha"/>
    <s v="ruzyně"/>
    <s v="1368"/>
    <n v="2296470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32372"/>
    <x v="6"/>
    <d v="2021-08-05T08:07:27"/>
    <s v="parcela"/>
    <s v="lesní pozemek"/>
    <x v="17"/>
    <s v="Hlavní město Praha"/>
    <x v="5"/>
    <s v="Ruzyně 1366"/>
    <s v="č. 1366 Ruzyně"/>
    <n v="5"/>
    <n v="19641"/>
    <n v="3122919"/>
    <n v="159"/>
    <x v="2"/>
    <s v="Ruzyně"/>
    <n v="1"/>
    <s v="číslo a KU za ním"/>
    <s v="CP.2296468101"/>
    <n v="3583"/>
    <s v="2022-09-28T23:37:46Z"/>
    <m/>
    <s v="1366"/>
    <s v="729710-1366"/>
    <s v="CP.2296468101"/>
    <s v="CZ-00025712-CUZK_CP"/>
    <n v="-751322.73"/>
    <n v="-1040719.56"/>
    <n v="14.29900402792866"/>
    <n v="50.097393438749187"/>
    <s v="-751288.07 -1040755.55 -751278.81 -1040709.57 -751352.81 -1040684.42 -751367.82 -1040722.45 -751288.07 -1040755.55"/>
    <n v="729710"/>
    <s v="Ruzyně"/>
    <n v="554782"/>
    <s v="Praha"/>
    <m/>
    <s v="Hlavní město Praha"/>
    <n v="19"/>
    <s v="Hlavní město Praha"/>
    <s v="hlavní město praha"/>
    <s v="ruzyně"/>
    <s v="1366"/>
    <n v="2296468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32368"/>
    <x v="6"/>
    <d v="2021-08-05T08:07:27"/>
    <s v="parcela"/>
    <s v="lesní pozemek"/>
    <x v="18"/>
    <s v="Hlavní město Praha"/>
    <x v="5"/>
    <s v="Ruzyně 1364"/>
    <s v="č. 1364 Ruzyně"/>
    <n v="5"/>
    <n v="19641"/>
    <n v="3122919"/>
    <n v="159"/>
    <x v="0"/>
    <s v="Ruzyně"/>
    <n v="1"/>
    <s v="číslo a KU za ním"/>
    <s v="CP.2296466101"/>
    <n v="4326"/>
    <s v="2022-09-28T23:37:46Z"/>
    <m/>
    <s v="1364"/>
    <s v="729710-1364"/>
    <s v="CP.2296466101"/>
    <s v="CZ-00025712-CUZK_CP"/>
    <n v="-751348.8"/>
    <n v="-1040766.73"/>
    <n v="14.298734071225811"/>
    <n v="50.096941046617047"/>
    <s v="-751393.75 -1040842.76 -751386.03 -1040839.84 -751375.23 -1040797.9 -751350.18 -1040793.27 -751324.84 -1040781.6 -751303.58 -1040774.09 -751294.15 -1040768.18 -751289.12 -1040757.71 -751368.41 -1040724.88 -751385.92 -1040797.39 -751392.62 -1040835.16 -751393.75 -1040842.76"/>
    <n v="729710"/>
    <s v="Ruzyně"/>
    <n v="554782"/>
    <s v="Praha"/>
    <m/>
    <s v="Hlavní město Praha"/>
    <n v="19"/>
    <s v="Hlavní město Praha"/>
    <s v="hlavní město praha"/>
    <s v="ruzyně"/>
    <s v="1364"/>
    <n v="2296466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32370"/>
    <x v="6"/>
    <d v="2021-08-05T08:07:27"/>
    <s v="parcela"/>
    <s v="lesní pozemek"/>
    <x v="19"/>
    <s v="Hlavní město Praha"/>
    <x v="5"/>
    <s v="Ruzyně 1367"/>
    <s v="č. 1367 Ruzyně"/>
    <n v="5"/>
    <n v="19641"/>
    <n v="3122919"/>
    <n v="159"/>
    <x v="2"/>
    <s v="Ruzyně"/>
    <n v="1"/>
    <s v="číslo a KU za ním"/>
    <s v="CP.2296469101"/>
    <n v="186"/>
    <s v="2022-09-28T23:37:46Z"/>
    <m/>
    <s v="1367"/>
    <s v="729710-1367"/>
    <s v="CP.2296469101"/>
    <s v="CZ-00025712-CUZK_CP"/>
    <n v="-751316.13"/>
    <n v="-1040696.43"/>
    <n v="14.29905080036726"/>
    <n v="50.097607601642288"/>
    <s v="-751278.81 -1040709.57 -751278.34 -1040707.24 -751351.93 -1040682.18 -751352.81 -1040684.42 -751278.81 -1040709.57"/>
    <n v="729710"/>
    <s v="Ruzyně"/>
    <n v="554782"/>
    <s v="Praha"/>
    <m/>
    <s v="Hlavní město Praha"/>
    <n v="19"/>
    <s v="Hlavní město Praha"/>
    <s v="hlavní město praha"/>
    <s v="ruzyně"/>
    <s v="1367"/>
    <n v="2296469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43349"/>
    <x v="7"/>
    <d v="2022-01-03T15:56:32"/>
    <s v="parcela"/>
    <s v="jiná plocha"/>
    <x v="20"/>
    <s v="Hlavní město Praha"/>
    <x v="6"/>
    <s v="Kunratice 2340/1"/>
    <s v="č. 2340/1 Kunratice"/>
    <n v="1"/>
    <n v="10824"/>
    <n v="1721016"/>
    <n v="159"/>
    <x v="0"/>
    <s v="Kunratice"/>
    <n v="1"/>
    <s v="číslo a KU za ním"/>
    <s v="CP.2141198101"/>
    <n v="10824"/>
    <s v="2022-09-29T00:28:44Z"/>
    <m/>
    <s v="2340/1"/>
    <s v="728314-2340/1"/>
    <s v="CP.2141198101"/>
    <s v="CZ-00025712-CUZK_CP"/>
    <n v="-740314"/>
    <n v="-1050736"/>
    <n v="14.470449510493109"/>
    <n v="50.021721906543974"/>
    <s v="-740428.54 -1050714.17 -740386 -1050749 -740375.97 -1050765.59 -740334.07 -1050765.77 -740292.32 -1050763.11 -740242.39 -1050759.93 -740211.32 -1050757.69 -740183.28 -1050759.32 -740185.33 -1050755.68 -740205.18 -1050736.01 -740221.11 -1050724.08 -740226.59 -1050718.77 -740231.08 -1050716.05 -740236.18 -1050711.03 -740251.48 -1050710.16 -740269.53 -1050707.96 -740295.4 -1050702.58 -740301.6 -1050706.58 -740336.56 -1050703.89 -740351.21 -1050712.41 -740372.48 -1050705.05 -740410.81 -1050706.16 -740413.34 -1050701.56 -740428.54 -1050714.17"/>
    <n v="728314"/>
    <s v="Kunratice"/>
    <n v="554782"/>
    <s v="Praha"/>
    <m/>
    <s v="Hlavní město Praha"/>
    <n v="19"/>
    <s v="Hlavní město Praha"/>
    <s v="hlavní město praha"/>
    <s v="kunratice"/>
    <s v="2340/1"/>
    <n v="2141198101"/>
    <m/>
    <m/>
    <m/>
    <m/>
    <m/>
    <m/>
    <m/>
    <m/>
    <m/>
    <m/>
    <m/>
    <m/>
    <m/>
    <m/>
    <m/>
    <m/>
    <m/>
    <m/>
    <m/>
    <m/>
    <m/>
    <m/>
    <m/>
    <m/>
    <m/>
    <m/>
    <m/>
    <m/>
    <m/>
    <n v="159"/>
  </r>
  <r>
    <n v="34625"/>
    <x v="8"/>
    <d v="2023-12-22T10:45:49"/>
    <s v="parcela"/>
    <s v="orná půda"/>
    <x v="21"/>
    <s v="Hlavní město Praha"/>
    <x v="1"/>
    <s v="Točná 906/15"/>
    <s v="č. 906/15 Točná"/>
    <n v="3"/>
    <n v="12013"/>
    <n v="1600000"/>
    <n v="133.1"/>
    <x v="5"/>
    <s v="Točná"/>
    <n v="1"/>
    <s v="číslo a KU za ním"/>
    <s v="CP.3616976101"/>
    <n v="950"/>
    <s v="2022-09-28T15:49:44Z"/>
    <m/>
    <s v="906/15"/>
    <s v="652407-906/15"/>
    <s v="CP.3616976101"/>
    <s v="CZ-00025712-CUZK_CP"/>
    <n v="-743385.67"/>
    <n v="-1054999.3500000001"/>
    <n v="14.436081406261479"/>
    <n v="49.979991034159731"/>
    <s v="-743383.06 -1054982.44 -743406.62 -1054981.81 -743393.26 -1055007.14 -743384.21 -1055018.99 -743357.72 -1055018.6 -743360.69 -1055014.36 -743383.06 -1054982.44"/>
    <n v="652407"/>
    <s v="Točná"/>
    <n v="554782"/>
    <s v="Praha"/>
    <m/>
    <s v="Hlavní město Praha"/>
    <n v="19"/>
    <s v="Hlavní město Praha"/>
    <s v="hlavní město praha"/>
    <s v="točná"/>
    <s v="906/15"/>
    <n v="3616976101"/>
    <m/>
    <m/>
    <m/>
    <m/>
    <m/>
    <m/>
    <m/>
    <m/>
    <m/>
    <m/>
    <m/>
    <m/>
    <m/>
    <m/>
    <m/>
    <m/>
    <m/>
    <m/>
    <m/>
    <m/>
    <m/>
    <m/>
    <m/>
    <m/>
    <m/>
    <m/>
    <m/>
    <m/>
    <m/>
    <n v="133.1"/>
  </r>
  <r>
    <n v="34623"/>
    <x v="8"/>
    <d v="2023-12-22T10:45:49"/>
    <s v="parcela"/>
    <s v="orná půda"/>
    <x v="22"/>
    <s v="Hlavní město Praha"/>
    <x v="1"/>
    <s v="Horní Počernice 4417/1"/>
    <s v="č. 4417/1 Horní Počernice"/>
    <n v="3"/>
    <n v="12013"/>
    <n v="1600000"/>
    <n v="133.1"/>
    <x v="4"/>
    <s v="Horní Počernice"/>
    <n v="1"/>
    <s v="číslo a KU za ním"/>
    <s v="CP.2288978101"/>
    <n v="6606"/>
    <s v="2022-09-28T23:44:58Z"/>
    <m/>
    <s v="4417/1"/>
    <s v="643777-4417/1"/>
    <s v="CP.2288978101"/>
    <s v="CZ-00025712-CUZK_CP"/>
    <n v="-730299.76"/>
    <n v="-1042822.63"/>
    <n v="14.59413899551889"/>
    <n v="50.10436500617427"/>
    <s v="-730261.58 -1042848.39 -730230.74 -1042841.43 -730237.94 -1042829.31 -730247.66 -1042803.47 -730250.88 -1042782.27 -730306.57 -1042794.22 -730319.95 -1042797.83 -730321.23 -1042801.13 -730322.94 -1042802.78 -730325.06 -1042803.89 -730375.71 -1042818.37 -730376.46 -1042819.77 -730380.5 -1042835.28 -730391.72 -1042852.29 -730389.63 -1042853.09 -730362.79 -1042840.21 -730298.36 -1042850.54 -730266.59 -1042846.14 -730266.94 -1042849.93 -730264.75 -1042849.38 -730263.66 -1042853.15 -730261.58 -1042848.39"/>
    <n v="643777"/>
    <s v="Horní Počernice"/>
    <n v="554782"/>
    <s v="Praha"/>
    <m/>
    <s v="Hlavní město Praha"/>
    <n v="19"/>
    <s v="Hlavní město Praha"/>
    <s v="hlavní město praha"/>
    <s v="horní počernice"/>
    <s v="4417/1"/>
    <n v="2288978101"/>
    <m/>
    <m/>
    <m/>
    <m/>
    <m/>
    <m/>
    <m/>
    <m/>
    <m/>
    <m/>
    <m/>
    <m/>
    <m/>
    <m/>
    <m/>
    <m/>
    <m/>
    <m/>
    <m/>
    <m/>
    <m/>
    <m/>
    <m/>
    <m/>
    <m/>
    <m/>
    <m/>
    <m/>
    <m/>
    <n v="133.1"/>
  </r>
  <r>
    <n v="34624"/>
    <x v="8"/>
    <d v="2023-12-22T10:45:49"/>
    <s v="parcela"/>
    <s v="orná půda"/>
    <x v="23"/>
    <s v="Hlavní město Praha"/>
    <x v="1"/>
    <s v="Černý Most 228/1"/>
    <s v="č. 228/1 Černý Most"/>
    <n v="3"/>
    <n v="12013"/>
    <n v="1600000"/>
    <n v="133.1"/>
    <x v="0"/>
    <s v="Černý Most"/>
    <n v="1"/>
    <s v="číslo a KU za ním"/>
    <s v="CP.2291875101"/>
    <n v="4457"/>
    <s v="2022-09-28T23:44:58Z"/>
    <m/>
    <s v="228/1"/>
    <s v="731676-228/1"/>
    <s v="CP.2291875101"/>
    <s v="CZ-00025712-CUZK_CP"/>
    <n v="-730730.07"/>
    <n v="-1043095.5"/>
    <n v="14.58868944632076"/>
    <n v="50.101415033298203"/>
    <s v="-730713.12 -1043072 -730735.22 -1043070.23 -730746.75 -1043067.74 -730757.44 -1043064.62 -730759.05 -1043073.93 -730761.95 -1043102.35 -730739.01 -1043148.16 -730709.5 -1043130 -730704.95 -1043125.71 -730699.96 -1043108.33 -730690.2 -1043090.21 -730673.76 -1043076.27 -730661.46 -1043067.71 -730656.88 -1043059.08 -730663.64 -1043061.79 -730687.54 -1043068.3 -730713.12 -1043072"/>
    <n v="731676"/>
    <s v="Černý Most"/>
    <n v="554782"/>
    <s v="Praha"/>
    <m/>
    <s v="Hlavní město Praha"/>
    <n v="19"/>
    <s v="Hlavní město Praha"/>
    <s v="hlavní město praha"/>
    <s v="černý most"/>
    <s v="228/1"/>
    <n v="2291875101"/>
    <m/>
    <m/>
    <m/>
    <m/>
    <m/>
    <m/>
    <m/>
    <m/>
    <m/>
    <m/>
    <m/>
    <m/>
    <m/>
    <m/>
    <m/>
    <m/>
    <m/>
    <m/>
    <m/>
    <m/>
    <m/>
    <m/>
    <m/>
    <m/>
    <m/>
    <m/>
    <m/>
    <m/>
    <m/>
    <n v="133.1"/>
  </r>
  <r>
    <n v="30641"/>
    <x v="9"/>
    <d v="2024-12-16T09:45:00"/>
    <s v="parcela"/>
    <s v="lesní pozemek"/>
    <x v="24"/>
    <s v="Hlavní město Praha"/>
    <x v="7"/>
    <s v="Petrovice 514/6"/>
    <s v="č. 514/6 Petrovice"/>
    <n v="9"/>
    <n v="24997"/>
    <n v="2549000"/>
    <n v="101.9"/>
    <x v="2"/>
    <s v="Petrovice"/>
    <n v="1"/>
    <s v="číslo a KU za ním"/>
    <s v="CP.2257282101"/>
    <n v="7"/>
    <s v="2022-09-28T23:52:14Z"/>
    <m/>
    <s v="514/6"/>
    <s v="732613-514/6"/>
    <s v="CP.2257282101"/>
    <s v="CZ-00025712-CUZK_CP"/>
    <n v="-734968.02"/>
    <n v="-1050073.81"/>
    <n v="14.5431299909697"/>
    <n v="50.034119574414333"/>
    <s v="-734967.79 -1050071.45 -734970.79 -1050082.28 -734966.53 -1050071.28 -734967.79 -1050071.45"/>
    <n v="732613"/>
    <s v="Petrovice"/>
    <n v="554782"/>
    <s v="Praha"/>
    <m/>
    <s v="Hlavní město Praha"/>
    <n v="19"/>
    <s v="Hlavní město Praha"/>
    <s v="hlavní město praha"/>
    <s v="petrovice"/>
    <s v="514/6"/>
    <n v="2257282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7"/>
    <x v="9"/>
    <d v="2024-12-16T09:45:00"/>
    <s v="parcela"/>
    <s v="lesní pozemek"/>
    <x v="25"/>
    <s v="Hlavní město Praha"/>
    <x v="7"/>
    <s v="Petrovice 514/2"/>
    <s v="č. 514/2 Petrovice"/>
    <n v="9"/>
    <n v="24997"/>
    <n v="2549000"/>
    <n v="101.9"/>
    <x v="2"/>
    <s v="Petrovice"/>
    <n v="1"/>
    <s v="číslo a KU za ním"/>
    <s v="CP.2257278101"/>
    <n v="25"/>
    <s v="2022-09-28T23:52:14Z"/>
    <m/>
    <s v="514/2"/>
    <s v="732613-514/2"/>
    <s v="CP.2257278101"/>
    <s v="CZ-00025712-CUZK_CP"/>
    <n v="-734939.54"/>
    <n v="-1050068.68"/>
    <n v="14.543514273502909"/>
    <n v="50.034199774600083"/>
    <s v="-734954.14 -1050069.61 -734939.95 -1050069.61 -734928.45 -1050066.14 -734954.14 -1050069.61"/>
    <n v="732613"/>
    <s v="Petrovice"/>
    <n v="554782"/>
    <s v="Praha"/>
    <m/>
    <s v="Hlavní město Praha"/>
    <n v="19"/>
    <s v="Hlavní město Praha"/>
    <s v="hlavní město praha"/>
    <s v="petrovice"/>
    <s v="514/2"/>
    <n v="2257278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3"/>
    <x v="9"/>
    <d v="2024-12-16T09:45:00"/>
    <s v="parcela"/>
    <s v="jiná plocha"/>
    <x v="26"/>
    <s v="Hlavní město Praha"/>
    <x v="7"/>
    <s v="Hostivař 2365/1"/>
    <s v="č. 2365/1 Hostivař"/>
    <n v="9"/>
    <n v="24997"/>
    <n v="2549000"/>
    <n v="101.9"/>
    <x v="6"/>
    <s v="Hostivař"/>
    <n v="1"/>
    <s v="číslo a KU za ním"/>
    <s v="CP.2253388101"/>
    <n v="8843"/>
    <s v="2022-09-28T23:59:21Z"/>
    <m/>
    <s v="2365/1"/>
    <s v="732052-2365/1"/>
    <s v="CP.2253388101"/>
    <s v="CZ-00025712-CUZK_CP"/>
    <n v="-734451.92"/>
    <n v="-1049546.79"/>
    <n v="14.549278198639749"/>
    <n v="50.039439900556879"/>
    <s v="-734419.21 -1049575.28 -734416.06 -1049574.74 -734432.15 -1049490.18 -734494.79 -1049490.58 -734538.06 -1049485.1 -734512.08 -1049500.15 -734489.54 -1049501.71 -734481.05 -1049546.79 -734525.27 -1049555.15 -734527.14 -1049564.84 -734516.18 -1049570.71 -734577.78 -1049587.56 -734563.05 -1049609.06 -734506.53 -1049592.41 -734422.95 -1049576.01 -734420.43 -1049575.52 -734419.21 -1049575.28"/>
    <n v="732052"/>
    <s v="Hostivař"/>
    <n v="554782"/>
    <s v="Praha"/>
    <m/>
    <s v="Hlavní město Praha"/>
    <n v="19"/>
    <s v="Hlavní město Praha"/>
    <s v="hlavní město praha"/>
    <s v="hostivař"/>
    <s v="2365/1"/>
    <n v="2253388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40"/>
    <x v="9"/>
    <d v="2024-12-16T09:45:00"/>
    <s v="parcela"/>
    <s v="lesní pozemek"/>
    <x v="27"/>
    <s v="Hlavní město Praha"/>
    <x v="7"/>
    <s v="Petrovice 514/5"/>
    <s v="č. 514/5 Petrovice"/>
    <n v="9"/>
    <n v="24997"/>
    <n v="2549000"/>
    <n v="101.9"/>
    <x v="2"/>
    <s v="Petrovice"/>
    <n v="1"/>
    <s v="číslo a KU za ním"/>
    <s v="CP.2257281101"/>
    <n v="43"/>
    <s v="2022-09-28T23:52:14Z"/>
    <m/>
    <s v="514/5"/>
    <s v="732613-514/5"/>
    <s v="CP.2257281101"/>
    <s v="CZ-00025712-CUZK_CP"/>
    <n v="-734909.33"/>
    <n v="-1049992.1200000001"/>
    <n v="14.543788172669631"/>
    <n v="50.034918459539163"/>
    <s v="-734914.53 -1049988.51 -734899.99 -1050000.65 -734900.16 -1049998 -734913.25 -1049986.47 -734914.3 -1049981.62 -734914.53 -1049988.51"/>
    <n v="732613"/>
    <s v="Petrovice"/>
    <n v="554782"/>
    <s v="Praha"/>
    <m/>
    <s v="Hlavní město Praha"/>
    <n v="19"/>
    <s v="Hlavní město Praha"/>
    <s v="hlavní město praha"/>
    <s v="petrovice"/>
    <s v="514/5"/>
    <n v="2257281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5"/>
    <x v="9"/>
    <d v="2024-12-16T09:45:00"/>
    <s v="parcela"/>
    <s v="lesní pozemek"/>
    <x v="28"/>
    <s v="Hlavní město Praha"/>
    <x v="7"/>
    <s v="Hostivař 2366"/>
    <s v="č. 2366 Hostivař"/>
    <n v="9"/>
    <n v="24997"/>
    <n v="2549000"/>
    <n v="101.9"/>
    <x v="2"/>
    <s v="Hostivař"/>
    <n v="1"/>
    <s v="číslo a KU za ním"/>
    <s v="CP.2253392101"/>
    <n v="5904"/>
    <s v="2022-09-28T23:59:21Z"/>
    <m/>
    <s v="2366"/>
    <s v="732052-2366"/>
    <s v="CP.2253392101"/>
    <s v="CZ-00025712-CUZK_CP"/>
    <n v="-734522.46"/>
    <n v="-1049537.6100000001"/>
    <n v="14.548285133303921"/>
    <n v="50.039436294994943"/>
    <s v="-734577.78 -1049587.56 -734516.18 -1049570.71 -734527.14 -1049564.84 -734525.27 -1049555.15 -734481.05 -1049546.79 -734489.54 -1049501.71 -734512.08 -1049500.15 -734538.06 -1049485.1 -734557.29 -1049544.11 -734606.99 -1049544.91 -734577.78 -1049587.56"/>
    <n v="732052"/>
    <s v="Hostivař"/>
    <n v="554782"/>
    <s v="Praha"/>
    <m/>
    <s v="Hlavní město Praha"/>
    <n v="19"/>
    <s v="Hlavní město Praha"/>
    <s v="hlavní město praha"/>
    <s v="hostivař"/>
    <s v="2366"/>
    <n v="2253392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4"/>
    <x v="9"/>
    <d v="2024-12-16T09:45:00"/>
    <s v="parcela"/>
    <s v="jiná plocha"/>
    <x v="29"/>
    <s v="Hlavní město Praha"/>
    <x v="7"/>
    <s v="Hostivař 2365/3"/>
    <s v="č. 2365/3 Hostivař"/>
    <n v="9"/>
    <n v="24997"/>
    <n v="2549000"/>
    <n v="101.9"/>
    <x v="0"/>
    <s v="Hostivař"/>
    <n v="1"/>
    <s v="číslo a KU za ním"/>
    <s v="CP.2253389101"/>
    <n v="1076"/>
    <s v="2022-09-28T23:59:21Z"/>
    <m/>
    <s v="2365/3"/>
    <s v="732052-2365/3"/>
    <s v="CP.2253389101"/>
    <s v="CZ-00025712-CUZK_CP"/>
    <n v="-734282.25"/>
    <n v="-1049641.3400000001"/>
    <n v="14.551802996414679"/>
    <n v="50.038802879336139"/>
    <s v="-734294.64 -1049660.82 -734263.56 -1049644.19 -734257.8 -1049641.11 -734258.43 -1049628.64 -734261.19 -1049628.88 -734275.19 -1049629.82 -734289.32 -1049630.27 -734303.54 -1049630.87 -734314.27 -1049631.26 -734294.64 -1049660.82"/>
    <n v="732052"/>
    <s v="Hostivař"/>
    <n v="554782"/>
    <s v="Praha"/>
    <m/>
    <s v="Hlavní město Praha"/>
    <n v="19"/>
    <s v="Hlavní město Praha"/>
    <s v="hlavní město praha"/>
    <s v="hostivař"/>
    <s v="2365/3"/>
    <n v="2253389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8"/>
    <x v="9"/>
    <d v="2024-12-16T09:45:00"/>
    <s v="parcela"/>
    <s v="lesní pozemek"/>
    <x v="30"/>
    <s v="Hlavní město Praha"/>
    <x v="7"/>
    <s v="Petrovice 514/3"/>
    <s v="č. 514/3 Petrovice"/>
    <n v="9"/>
    <n v="24997"/>
    <n v="2549000"/>
    <n v="101.9"/>
    <x v="2"/>
    <s v="Petrovice"/>
    <n v="1"/>
    <s v="číslo a KU za ním"/>
    <s v="CP.2257279101"/>
    <n v="14"/>
    <s v="2022-09-28T23:52:14Z"/>
    <m/>
    <s v="514/3"/>
    <s v="732613-514/3"/>
    <s v="CP.2257279101"/>
    <s v="CZ-00025712-CUZK_CP"/>
    <n v="-734906.97"/>
    <n v="-1050058.44"/>
    <n v="14.543945521045259"/>
    <n v="50.034330453603843"/>
    <s v="-734910.64 -1050060.76 -734907.4 -1050059.78 -734900.49 -1050048.81 -734910.64 -1050060.76"/>
    <n v="732613"/>
    <s v="Petrovice"/>
    <n v="554782"/>
    <s v="Praha"/>
    <m/>
    <s v="Hlavní město Praha"/>
    <n v="19"/>
    <s v="Hlavní město Praha"/>
    <s v="hlavní město praha"/>
    <s v="petrovice"/>
    <s v="514/3"/>
    <n v="2257279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9"/>
    <x v="9"/>
    <d v="2024-12-16T09:45:00"/>
    <s v="parcela"/>
    <s v="lesní pozemek"/>
    <x v="31"/>
    <s v="Hlavní město Praha"/>
    <x v="7"/>
    <s v="Petrovice 514/4"/>
    <s v="č. 514/4 Petrovice"/>
    <n v="9"/>
    <n v="24997"/>
    <n v="2549000"/>
    <n v="101.9"/>
    <x v="2"/>
    <s v="Petrovice"/>
    <n v="1"/>
    <s v="číslo a KU za ním"/>
    <s v="CP.2257280101"/>
    <n v="41"/>
    <s v="2022-09-28T23:52:14Z"/>
    <m/>
    <s v="514/4"/>
    <s v="732613-514/4"/>
    <s v="CP.2257280101"/>
    <s v="CZ-00025712-CUZK_CP"/>
    <n v="-734894.04"/>
    <n v="-1050028.23"/>
    <n v="14.544067562863599"/>
    <n v="50.034615263424193"/>
    <s v="-734896.8 -1050018.26 -734895.72 -1050026.29 -734895.09 -1050040.23 -734891.4 -1050034.35 -734896.8 -1050018.26"/>
    <n v="732613"/>
    <s v="Petrovice"/>
    <n v="554782"/>
    <s v="Praha"/>
    <m/>
    <s v="Hlavní město Praha"/>
    <n v="19"/>
    <s v="Hlavní město Praha"/>
    <s v="hlavní město praha"/>
    <s v="petrovice"/>
    <s v="514/4"/>
    <n v="2257280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30636"/>
    <x v="9"/>
    <d v="2024-12-16T09:45:00"/>
    <s v="parcela"/>
    <s v="orná půda"/>
    <x v="32"/>
    <s v="Hlavní město Praha"/>
    <x v="7"/>
    <s v="Háje 537/41"/>
    <s v="č. 537/41 Háje"/>
    <n v="9"/>
    <n v="24997"/>
    <n v="2549000"/>
    <n v="101.9"/>
    <x v="0"/>
    <s v="Háje"/>
    <n v="1"/>
    <s v="číslo a KU za ním"/>
    <s v="CP.2247932101"/>
    <n v="9044"/>
    <s v="2022-09-28T23:59:21Z"/>
    <m/>
    <s v="537/41"/>
    <s v="728233-537/41"/>
    <s v="CP.2247932101"/>
    <s v="CZ-00025712-CUZK_CP"/>
    <n v="-734947.35"/>
    <n v="-1050024.53"/>
    <n v="14.54332322589355"/>
    <n v="50.034583660013837"/>
    <s v="-734928.45 -1050066.14 -734910.64 -1050060.76 -734900.49 -1050048.81 -734895.09 -1050040.23 -734895.72 -1050026.29 -734896.8 -1050018.26 -734899.32 -1050010.75 -734899.99 -1050000.65 -734914.53 -1049988.51 -734914.3 -1049981.62 -734915.3 -1049976.92 -734937.31 -1049968.04 -734965.55 -1049955.08 -734981.59 -1049941.09 -734988.95 -1050103.6 -734967.69 -1050093.19 -734969.94 -1050085.26 -734970.79 -1050082.28 -734967.79 -1050071.45 -734966.53 -1050071.28 -734965.88 -1050069.6 -734954.14 -1050069.61 -734928.45 -1050066.14"/>
    <n v="728233"/>
    <s v="Háje"/>
    <n v="554782"/>
    <s v="Praha"/>
    <m/>
    <s v="Hlavní město Praha"/>
    <n v="19"/>
    <s v="Hlavní město Praha"/>
    <s v="hlavní město praha"/>
    <s v="háje"/>
    <s v="537/41"/>
    <n v="2247932101"/>
    <m/>
    <m/>
    <m/>
    <m/>
    <m/>
    <m/>
    <m/>
    <m/>
    <m/>
    <m/>
    <m/>
    <m/>
    <m/>
    <m/>
    <m/>
    <m/>
    <m/>
    <m/>
    <m/>
    <m/>
    <m/>
    <m/>
    <m/>
    <m/>
    <m/>
    <m/>
    <m/>
    <m/>
    <m/>
    <n v="101.9"/>
  </r>
  <r>
    <n v="99043"/>
    <x v="10"/>
    <d v="2022-06-17T10:40:43"/>
    <s v="parcela"/>
    <s v="lesní pozemek"/>
    <x v="33"/>
    <s v="Hlavní město Praha"/>
    <x v="8"/>
    <s v="Hloubětín 2447"/>
    <s v="č. 2447 Hloubětín"/>
    <n v="4"/>
    <n v="31371"/>
    <n v="3000000"/>
    <n v="192"/>
    <x v="0"/>
    <s v="Hloubětín"/>
    <n v="1"/>
    <s v="číslo a KU za ním"/>
    <s v="CP.2233546101"/>
    <n v="18456"/>
    <s v="2022-09-28T23:59:21Z"/>
    <m/>
    <s v="2447"/>
    <s v="731234-2447"/>
    <s v="CP.2233546101"/>
    <s v="CZ-00025712-CUZK_CP"/>
    <n v="-735060.67"/>
    <n v="-1043759.33"/>
    <n v="14.529959014361051"/>
    <n v="50.090263755292469"/>
    <s v="-735165.6 -1043744.4 -735152.27 -1043775 -735137.97 -1043807.08 -735126.3 -1043832.71 -735096.27 -1043824.74 -734959.66 -1043786.27 -734987.46 -1043682.5 -735165.6 -1043744.4"/>
    <n v="731234"/>
    <s v="Hloubětín"/>
    <n v="554782"/>
    <s v="Praha"/>
    <m/>
    <s v="Hlavní město Praha"/>
    <n v="19"/>
    <s v="Hlavní město Praha"/>
    <s v="hlavní město praha"/>
    <s v="hloubětín"/>
    <s v="2447"/>
    <n v="2233546101"/>
    <m/>
    <m/>
    <m/>
    <m/>
    <m/>
    <m/>
    <m/>
    <m/>
    <m/>
    <m/>
    <m/>
    <m/>
    <m/>
    <m/>
    <m/>
    <m/>
    <m/>
    <m/>
    <m/>
    <m/>
    <m/>
    <m/>
    <m/>
    <m/>
    <m/>
    <m/>
    <m/>
    <m/>
    <m/>
    <n v="95.6"/>
  </r>
  <r>
    <n v="99042"/>
    <x v="10"/>
    <d v="2022-06-17T10:40:43"/>
    <s v="parcela"/>
    <s v="ostatní komunikace"/>
    <x v="34"/>
    <s v="Hlavní město Praha"/>
    <x v="8"/>
    <s v="Hloubětín 2628"/>
    <s v="č. 2628 Hloubětín"/>
    <n v="4"/>
    <n v="31371"/>
    <n v="3000000"/>
    <n v="192"/>
    <x v="7"/>
    <s v="Hloubětín"/>
    <n v="1"/>
    <s v="číslo a KU za ním"/>
    <s v="CP.2233783101"/>
    <n v="745"/>
    <s v="2022-09-28T23:59:21Z"/>
    <m/>
    <s v="2628"/>
    <s v="731234-2628"/>
    <s v="CP.2233783101"/>
    <s v="CZ-00025712-CUZK_CP"/>
    <n v="-735120.99"/>
    <n v="-1043889.73"/>
    <n v="14.52936955902843"/>
    <n v="50.089028869863697"/>
    <s v="-735137.12 -1043861.32 -735134.58 -1043868.21 -735122.52 -1043900.06 -735113.31 -1043923.11 -735108.28 -1043921.96 -735113.08 -1043896.93 -735119.46 -1043864.2 -735120.86 -1043857.03 -735126.61 -1043858.57 -735127.47 -1043858.8 -735131.67 -1043859.89 -735137.12 -1043861.32"/>
    <n v="731234"/>
    <s v="Hloubětín"/>
    <n v="554782"/>
    <s v="Praha"/>
    <m/>
    <s v="Hlavní město Praha"/>
    <n v="19"/>
    <s v="Hlavní město Praha"/>
    <s v="hlavní město praha"/>
    <s v="hloubětín"/>
    <s v="2628"/>
    <n v="2233783101"/>
    <m/>
    <m/>
    <m/>
    <m/>
    <m/>
    <m/>
    <m/>
    <m/>
    <m/>
    <m/>
    <m/>
    <m/>
    <m/>
    <m/>
    <m/>
    <m/>
    <m/>
    <m/>
    <m/>
    <m/>
    <m/>
    <m/>
    <m/>
    <m/>
    <m/>
    <m/>
    <m/>
    <m/>
    <m/>
    <n v="95.6"/>
  </r>
  <r>
    <n v="99044"/>
    <x v="10"/>
    <d v="2022-06-17T10:40:43"/>
    <s v="parcela"/>
    <s v="ostatní komunikace"/>
    <x v="35"/>
    <s v="Hlavní město Praha"/>
    <x v="8"/>
    <s v="Hloubětín 2627"/>
    <s v="č. 2627 Hloubětín"/>
    <n v="4"/>
    <n v="31371"/>
    <n v="3000000"/>
    <n v="192"/>
    <x v="0"/>
    <s v="Hloubětín"/>
    <n v="1"/>
    <s v="číslo a KU za ním"/>
    <s v="CP.2233782101"/>
    <n v="1146"/>
    <s v="2022-09-28T23:59:21Z"/>
    <m/>
    <s v="2627"/>
    <s v="731234-2627"/>
    <s v="CP.2233782101"/>
    <s v="CZ-00025712-CUZK_CP"/>
    <n v="-735150.62"/>
    <n v="-1043794.77"/>
    <n v="14.52878024411498"/>
    <n v="50.089838925797757"/>
    <s v="-735165.6 -1043744.4 -735171.09 -1043746.69 -735158.46 -1043789.37 -735146.43 -1043828.75 -735145.45 -1043837.81 -735138.18 -1043835.94 -735134.86 -1043835.08 -735133.07 -1043834.58 -735126.3 -1043832.71 -735137.97 -1043807.08 -735152.27 -1043775 -735165.6 -1043744.4"/>
    <n v="731234"/>
    <s v="Hloubětín"/>
    <n v="554782"/>
    <s v="Praha"/>
    <m/>
    <s v="Hlavní město Praha"/>
    <n v="19"/>
    <s v="Hlavní město Praha"/>
    <s v="hlavní město praha"/>
    <s v="hloubětín"/>
    <s v="2627"/>
    <n v="2233782101"/>
    <m/>
    <m/>
    <m/>
    <m/>
    <m/>
    <m/>
    <m/>
    <m/>
    <m/>
    <m/>
    <m/>
    <m/>
    <m/>
    <m/>
    <m/>
    <m/>
    <m/>
    <m/>
    <m/>
    <m/>
    <m/>
    <m/>
    <m/>
    <m/>
    <m/>
    <m/>
    <m/>
    <m/>
    <m/>
    <n v="95.6"/>
  </r>
  <r>
    <n v="99041"/>
    <x v="10"/>
    <d v="2022-06-17T10:40:43"/>
    <s v="parcela"/>
    <s v="orná půda"/>
    <x v="36"/>
    <s v="Hlavní město Praha"/>
    <x v="8"/>
    <s v="Hloubětín 2452"/>
    <s v="č. 2452 Hloubětín"/>
    <n v="4"/>
    <n v="31371"/>
    <n v="3000000"/>
    <n v="192"/>
    <x v="7"/>
    <s v="Hloubětín"/>
    <n v="1"/>
    <s v="číslo a KU za ním"/>
    <s v="CP.2233551101"/>
    <n v="11024"/>
    <s v="2022-09-28T23:59:21Z"/>
    <m/>
    <s v="2452"/>
    <s v="731234-2452"/>
    <s v="CP.2233551101"/>
    <s v="CZ-00025712-CUZK_CP"/>
    <n v="-735029.6"/>
    <n v="-1043873.16"/>
    <n v="14.53060382337989"/>
    <n v="50.089287327450009"/>
    <s v="-734934.24 -1043882.74 -734950.81 -1043819.5 -734966.71 -1043822.81 -735119.46 -1043864.2 -735113.08 -1043896.93 -735108.28 -1043921.96 -734934.24 -1043882.74"/>
    <n v="731234"/>
    <s v="Hloubětín"/>
    <n v="554782"/>
    <s v="Praha"/>
    <m/>
    <s v="Hlavní město Praha"/>
    <n v="19"/>
    <s v="Hlavní město Praha"/>
    <s v="hlavní město praha"/>
    <s v="hloubětín"/>
    <s v="2452"/>
    <n v="2233551101"/>
    <m/>
    <m/>
    <m/>
    <m/>
    <m/>
    <m/>
    <m/>
    <m/>
    <m/>
    <m/>
    <m/>
    <m/>
    <m/>
    <m/>
    <m/>
    <m/>
    <m/>
    <m/>
    <m/>
    <m/>
    <m/>
    <m/>
    <m/>
    <m/>
    <m/>
    <m/>
    <m/>
    <m/>
    <m/>
    <n v="95.6"/>
  </r>
  <r>
    <n v="31222"/>
    <x v="11"/>
    <d v="2022-05-18T15:01:30"/>
    <s v="parcela"/>
    <s v="orná půda"/>
    <x v="37"/>
    <s v="Hlavní město Praha"/>
    <x v="7"/>
    <s v="Hostivař 1714/3"/>
    <s v="č. 1714/3 Hostivař"/>
    <n v="1"/>
    <n v="6399"/>
    <n v="469166"/>
    <n v="608"/>
    <x v="0"/>
    <s v="Hostivař"/>
    <n v="1"/>
    <s v="číslo a KU za ním"/>
    <s v="CP.2913305101"/>
    <n v="6399"/>
    <s v="2022-09-28T19:51:11Z"/>
    <m/>
    <s v="1714/3"/>
    <s v="732052-1714/3"/>
    <s v="CP.2913305101"/>
    <s v="CZ-00025712-CUZK_CP"/>
    <n v="-736007.03"/>
    <n v="-1046457.21"/>
    <n v="14.521944156339311"/>
    <n v="50.065080364801659"/>
    <s v="-735946.69 -1046407.29 -735948.8 -1046401.06 -735955.17 -1046399.18 -735968.11 -1046408.51 -735973.25 -1046411.22 -735980.8 -1046413.3 -736014.91 -1046417.19 -736031.92 -1046429.22 -736038.63 -1046460.01 -736052.52 -1046523.7 -736062.26 -1046586.83 -736060.93 -1046581.75 -736050.03 -1046555.39 -736038.04 -1046531.36 -736021.92 -1046509.55 -736000.11 -1046486.77 -735985.46 -1046469.3 -735976.29 -1046456.7 -735960.27 -1046432.86 -735951.16 -1046417.05 -735948.6 -1046411.82 -735946.69 -1046407.29"/>
    <n v="732052"/>
    <s v="Hostivař"/>
    <n v="554782"/>
    <s v="Praha"/>
    <m/>
    <s v="Hlavní město Praha"/>
    <n v="19"/>
    <s v="Hlavní město Praha"/>
    <s v="hlavní město praha"/>
    <s v="hostivař"/>
    <s v="1714/3"/>
    <n v="2913305101"/>
    <m/>
    <m/>
    <m/>
    <m/>
    <m/>
    <m/>
    <m/>
    <m/>
    <m/>
    <m/>
    <m/>
    <m/>
    <m/>
    <m/>
    <m/>
    <m/>
    <m/>
    <m/>
    <m/>
    <m/>
    <m/>
    <m/>
    <m/>
    <m/>
    <m/>
    <m/>
    <m/>
    <m/>
    <m/>
    <n v="73.3"/>
  </r>
  <r>
    <n v="31245"/>
    <x v="12"/>
    <d v="2022-05-18T15:01:30"/>
    <s v="parcela"/>
    <s v="orná půda"/>
    <x v="37"/>
    <s v="Hlavní město Praha"/>
    <x v="7"/>
    <s v="Hostivař 1714/3"/>
    <s v="č. 1714/3 Hostivař"/>
    <n v="1"/>
    <n v="6399"/>
    <n v="469166"/>
    <n v="608"/>
    <x v="0"/>
    <s v="Hostivař"/>
    <n v="1"/>
    <s v="číslo a KU za ním"/>
    <s v="CP.2913305101"/>
    <n v="6399"/>
    <s v="2022-09-28T19:51:11Z"/>
    <m/>
    <s v="1714/3"/>
    <s v="732052-1714/3"/>
    <s v="CP.2913305101"/>
    <s v="CZ-00025712-CUZK_CP"/>
    <n v="-736007.03"/>
    <n v="-1046457.21"/>
    <n v="14.521944156339311"/>
    <n v="50.065080364801659"/>
    <s v="-735946.69 -1046407.29 -735948.8 -1046401.06 -735955.17 -1046399.18 -735968.11 -1046408.51 -735973.25 -1046411.22 -735980.8 -1046413.3 -736014.91 -1046417.19 -736031.92 -1046429.22 -736038.63 -1046460.01 -736052.52 -1046523.7 -736062.26 -1046586.83 -736060.93 -1046581.75 -736050.03 -1046555.39 -736038.04 -1046531.36 -736021.92 -1046509.55 -736000.11 -1046486.77 -735985.46 -1046469.3 -735976.29 -1046456.7 -735960.27 -1046432.86 -735951.16 -1046417.05 -735948.6 -1046411.82 -735946.69 -1046407.29"/>
    <n v="732052"/>
    <s v="Hostivař"/>
    <n v="554782"/>
    <s v="Praha"/>
    <m/>
    <s v="Hlavní město Praha"/>
    <n v="19"/>
    <s v="Hlavní město Praha"/>
    <s v="hlavní město praha"/>
    <s v="hostivař"/>
    <s v="1714/3"/>
    <n v="2913305101"/>
    <m/>
    <m/>
    <m/>
    <m/>
    <m/>
    <m/>
    <m/>
    <m/>
    <m/>
    <m/>
    <m/>
    <m/>
    <m/>
    <m/>
    <m/>
    <m/>
    <m/>
    <m/>
    <m/>
    <m/>
    <m/>
    <m/>
    <m/>
    <m/>
    <m/>
    <m/>
    <m/>
    <m/>
    <m/>
    <n v="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7197B-BF19-46AE-9E59-58B49BCAF34C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9:F111" firstHeaderRow="0" firstDataRow="1" firstDataCol="4"/>
  <pivotFields count="73">
    <pivotField showAll="0"/>
    <pivotField axis="axisRow" compact="0" outline="0" subtotalTop="0" showAll="0">
      <items count="14">
        <item x="7"/>
        <item x="2"/>
        <item x="5"/>
        <item x="3"/>
        <item x="12"/>
        <item x="11"/>
        <item x="10"/>
        <item x="4"/>
        <item x="6"/>
        <item x="8"/>
        <item x="1"/>
        <item x="9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/>
    <pivotField showAll="0"/>
    <pivotField showAll="0"/>
    <pivotField axis="axisRow" compact="0" outline="0" subtotalTop="0" showAll="0" defaultSubtotal="0">
      <items count="38">
        <item x="6"/>
        <item x="18"/>
        <item x="15"/>
        <item x="17"/>
        <item x="19"/>
        <item x="16"/>
        <item x="12"/>
        <item x="13"/>
        <item x="14"/>
        <item x="37"/>
        <item x="1"/>
        <item x="0"/>
        <item x="23"/>
        <item x="20"/>
        <item x="26"/>
        <item x="29"/>
        <item x="28"/>
        <item x="33"/>
        <item x="36"/>
        <item x="35"/>
        <item x="34"/>
        <item x="2"/>
        <item x="4"/>
        <item x="5"/>
        <item x="10"/>
        <item x="3"/>
        <item x="22"/>
        <item x="25"/>
        <item x="30"/>
        <item x="31"/>
        <item x="27"/>
        <item x="24"/>
        <item x="32"/>
        <item x="8"/>
        <item x="9"/>
        <item x="7"/>
        <item x="11"/>
        <item x="21"/>
      </items>
    </pivotField>
    <pivotField showAll="0"/>
    <pivotField axis="axisRow" compact="0" outline="0" subtotalTop="0" showAll="0">
      <items count="10">
        <item x="0"/>
        <item x="8"/>
        <item x="1"/>
        <item x="7"/>
        <item x="6"/>
        <item x="5"/>
        <item x="2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0"/>
        <item x="2"/>
        <item x="5"/>
        <item x="1"/>
        <item x="7"/>
        <item x="3"/>
        <item x="4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7"/>
    <field x="1"/>
    <field x="5"/>
    <field x="14"/>
  </rowFields>
  <rowItems count="62">
    <i>
      <x/>
      <x v="12"/>
      <x v="10"/>
      <x v="3"/>
    </i>
    <i r="2">
      <x v="11"/>
      <x/>
    </i>
    <i t="default" r="1">
      <x v="12"/>
    </i>
    <i t="default">
      <x/>
    </i>
    <i>
      <x v="1"/>
      <x v="6"/>
      <x v="17"/>
      <x/>
    </i>
    <i r="2">
      <x v="18"/>
      <x v="4"/>
    </i>
    <i r="2">
      <x v="19"/>
      <x/>
    </i>
    <i r="2">
      <x v="20"/>
      <x v="4"/>
    </i>
    <i t="default" r="1">
      <x v="6"/>
    </i>
    <i t="default">
      <x v="1"/>
    </i>
    <i>
      <x v="2"/>
      <x v="9"/>
      <x v="12"/>
      <x/>
    </i>
    <i r="2">
      <x v="26"/>
      <x v="6"/>
    </i>
    <i r="2">
      <x v="37"/>
      <x v="2"/>
    </i>
    <i t="default" r="1">
      <x v="9"/>
    </i>
    <i r="1">
      <x v="10"/>
      <x v="21"/>
      <x/>
    </i>
    <i t="default" r="1">
      <x v="10"/>
    </i>
    <i t="default">
      <x v="2"/>
    </i>
    <i>
      <x v="3"/>
      <x v="4"/>
      <x v="9"/>
      <x/>
    </i>
    <i t="default" r="1">
      <x v="4"/>
    </i>
    <i r="1">
      <x v="5"/>
      <x v="9"/>
      <x/>
    </i>
    <i t="default" r="1">
      <x v="5"/>
    </i>
    <i r="1">
      <x v="11"/>
      <x v="14"/>
      <x v="7"/>
    </i>
    <i r="2">
      <x v="15"/>
      <x/>
    </i>
    <i r="2">
      <x v="16"/>
      <x v="1"/>
    </i>
    <i r="2">
      <x v="27"/>
      <x v="1"/>
    </i>
    <i r="2">
      <x v="28"/>
      <x v="1"/>
    </i>
    <i r="2">
      <x v="29"/>
      <x v="1"/>
    </i>
    <i r="2">
      <x v="30"/>
      <x v="1"/>
    </i>
    <i r="2">
      <x v="31"/>
      <x v="1"/>
    </i>
    <i r="2">
      <x v="32"/>
      <x/>
    </i>
    <i t="default" r="1">
      <x v="11"/>
    </i>
    <i t="default">
      <x v="3"/>
    </i>
    <i>
      <x v="4"/>
      <x/>
      <x v="13"/>
      <x/>
    </i>
    <i t="default" r="1">
      <x/>
    </i>
    <i t="default">
      <x v="4"/>
    </i>
    <i>
      <x v="5"/>
      <x v="8"/>
      <x v="1"/>
      <x/>
    </i>
    <i r="2">
      <x v="2"/>
      <x v="1"/>
    </i>
    <i r="2">
      <x v="3"/>
      <x v="1"/>
    </i>
    <i r="2">
      <x v="4"/>
      <x v="1"/>
    </i>
    <i r="2">
      <x v="5"/>
      <x v="1"/>
    </i>
    <i t="default" r="1">
      <x v="8"/>
    </i>
    <i t="default">
      <x v="5"/>
    </i>
    <i>
      <x v="6"/>
      <x v="1"/>
      <x v="22"/>
      <x/>
    </i>
    <i r="2">
      <x v="23"/>
      <x/>
    </i>
    <i r="2">
      <x v="25"/>
      <x/>
    </i>
    <i t="default" r="1">
      <x v="1"/>
    </i>
    <i r="1">
      <x v="7"/>
      <x v="24"/>
      <x/>
    </i>
    <i t="default" r="1">
      <x v="7"/>
    </i>
    <i t="default">
      <x v="6"/>
    </i>
    <i>
      <x v="7"/>
      <x v="2"/>
      <x v="6"/>
      <x/>
    </i>
    <i r="2">
      <x v="7"/>
      <x v="6"/>
    </i>
    <i r="2">
      <x v="8"/>
      <x v="6"/>
    </i>
    <i r="2">
      <x v="36"/>
      <x v="5"/>
    </i>
    <i t="default" r="1">
      <x v="2"/>
    </i>
    <i t="default">
      <x v="7"/>
    </i>
    <i>
      <x v="8"/>
      <x v="3"/>
      <x/>
      <x v="1"/>
    </i>
    <i r="2">
      <x v="33"/>
      <x/>
    </i>
    <i r="2">
      <x v="34"/>
      <x/>
    </i>
    <i r="2">
      <x v="35"/>
      <x/>
    </i>
    <i t="default" r="1">
      <x v="3"/>
    </i>
    <i t="default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z areaValue_m2" fld="19" baseField="0" baseItem="0"/>
    <dataField name="Průměr z #JC" fld="13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BU38">
  <autoFilter ref="A1:BU38" xr:uid="{00000000-0009-0000-0100-000001000000}"/>
  <tableColumns count="73">
    <tableColumn id="1" xr3:uid="{00000000-0010-0000-0000-000001000000}" name="id"/>
    <tableColumn id="2" xr3:uid="{00000000-0010-0000-0000-000002000000}" name="cislo_vkladu"/>
    <tableColumn id="3" xr3:uid="{00000000-0010-0000-0000-000003000000}" name="datum_podani"/>
    <tableColumn id="4" xr3:uid="{00000000-0010-0000-0000-000004000000}" name="nemovitost"/>
    <tableColumn id="5" xr3:uid="{00000000-0010-0000-0000-000005000000}" name="typ"/>
    <tableColumn id="6" xr3:uid="{00000000-0010-0000-0000-000006000000}" name="parcel_number"/>
    <tableColumn id="7" xr3:uid="{00000000-0010-0000-0000-000007000000}" name="okres"/>
    <tableColumn id="8" xr3:uid="{00000000-0010-0000-0000-000008000000}" name="kat_uzemi"/>
    <tableColumn id="9" xr3:uid="{00000000-0010-0000-0000-000009000000}" name="adresa"/>
    <tableColumn id="10" xr3:uid="{00000000-0010-0000-0000-00000A000000}" name="popis"/>
    <tableColumn id="11" xr3:uid="{00000000-0010-0000-0000-00000B000000}" name="#PARCEL"/>
    <tableColumn id="12" xr3:uid="{00000000-0010-0000-0000-00000C000000}" name="#CELKOVA_VYMERA"/>
    <tableColumn id="13" xr3:uid="{00000000-0010-0000-0000-00000D000000}" name="cenovy_udaj"/>
    <tableColumn id="14" xr3:uid="{00000000-0010-0000-0000-00000E000000}" name="#JC"/>
    <tableColumn id="15" xr3:uid="{00000000-0010-0000-0000-00000F000000}" name="UP"/>
    <tableColumn id="16" xr3:uid="{00000000-0010-0000-0000-000010000000}" name="kat_uzemi_nazev"/>
    <tableColumn id="17" xr3:uid="{00000000-0010-0000-0000-000011000000}" name="parsing_status"/>
    <tableColumn id="18" xr3:uid="{00000000-0010-0000-0000-000012000000}" name="pattern_used"/>
    <tableColumn id="19" xr3:uid="{00000000-0010-0000-0000-000013000000}" name="gml_id"/>
    <tableColumn id="20" xr3:uid="{00000000-0010-0000-0000-000014000000}" name="areaValue_m2"/>
    <tableColumn id="21" xr3:uid="{00000000-0010-0000-0000-000015000000}" name="beginLifespanVersion"/>
    <tableColumn id="22" xr3:uid="{00000000-0010-0000-0000-000016000000}" name="endLifespanVersion"/>
    <tableColumn id="23" xr3:uid="{00000000-0010-0000-0000-000017000000}" name="label"/>
    <tableColumn id="24" xr3:uid="{00000000-0010-0000-0000-000018000000}" name="nationalCadastralReference"/>
    <tableColumn id="25" xr3:uid="{00000000-0010-0000-0000-000019000000}" name="inspire_localId"/>
    <tableColumn id="26" xr3:uid="{00000000-0010-0000-0000-00001A000000}" name="inspire_namespace"/>
    <tableColumn id="27" xr3:uid="{00000000-0010-0000-0000-00001B000000}" name="refPoint_x"/>
    <tableColumn id="28" xr3:uid="{00000000-0010-0000-0000-00001C000000}" name="refPoint_y"/>
    <tableColumn id="29" xr3:uid="{00000000-0010-0000-0000-00001D000000}" name="refPoint_lon"/>
    <tableColumn id="30" xr3:uid="{00000000-0010-0000-0000-00001E000000}" name="refPoint_lat"/>
    <tableColumn id="31" xr3:uid="{00000000-0010-0000-0000-00001F000000}" name="geometry_posList"/>
    <tableColumn id="32" xr3:uid="{00000000-0010-0000-0000-000020000000}" name="ku_kod"/>
    <tableColumn id="33" xr3:uid="{00000000-0010-0000-0000-000021000000}" name="ku_nazev"/>
    <tableColumn id="34" xr3:uid="{00000000-0010-0000-0000-000022000000}" name="obec_kod"/>
    <tableColumn id="35" xr3:uid="{00000000-0010-0000-0000-000023000000}" name="obec_nazev"/>
    <tableColumn id="36" xr3:uid="{00000000-0010-0000-0000-000024000000}" name="okres_kod"/>
    <tableColumn id="37" xr3:uid="{00000000-0010-0000-0000-000025000000}" name="okres_nazev"/>
    <tableColumn id="38" xr3:uid="{00000000-0010-0000-0000-000026000000}" name="vusc_kod"/>
    <tableColumn id="39" xr3:uid="{00000000-0010-0000-0000-000027000000}" name="vusc_nazev"/>
    <tableColumn id="40" xr3:uid="{00000000-0010-0000-0000-000028000000}" name="okres_key"/>
    <tableColumn id="41" xr3:uid="{00000000-0010-0000-0000-000029000000}" name="ku_key"/>
    <tableColumn id="42" xr3:uid="{00000000-0010-0000-0000-00002A000000}" name="parcela_key"/>
    <tableColumn id="43" xr3:uid="{00000000-0010-0000-0000-00002B000000}" name="ruian_parcela_id"/>
    <tableColumn id="44" xr3:uid="{00000000-0010-0000-0000-00002C000000}" name="so_kod"/>
    <tableColumn id="45" xr3:uid="{00000000-0010-0000-0000-00002D000000}" name="so_typ_objektu_kod"/>
    <tableColumn id="46" xr3:uid="{00000000-0010-0000-0000-00002E000000}" name="so_zpusob_vyuziti_kod"/>
    <tableColumn id="47" xr3:uid="{00000000-0010-0000-0000-00002F000000}" name="so_dokonceni"/>
    <tableColumn id="48" xr3:uid="{00000000-0010-0000-0000-000030000000}" name="so_druh_konstrukce_kod"/>
    <tableColumn id="49" xr3:uid="{00000000-0010-0000-0000-000031000000}" name="tea_pocet_bytu"/>
    <tableColumn id="50" xr3:uid="{00000000-0010-0000-0000-000032000000}" name="tea_pocet_podlazi"/>
    <tableColumn id="51" xr3:uid="{00000000-0010-0000-0000-000033000000}" name="tea_zastavena_plocha"/>
    <tableColumn id="52" xr3:uid="{00000000-0010-0000-0000-000034000000}" name="tea_obestaveny_prostor"/>
    <tableColumn id="53" xr3:uid="{00000000-0010-0000-0000-000035000000}" name="tea_podlahova_plocha"/>
    <tableColumn id="54" xr3:uid="{00000000-0010-0000-0000-000036000000}" name="tea_pripojeni_kanalizace_kod"/>
    <tableColumn id="55" xr3:uid="{00000000-0010-0000-0000-000037000000}" name="tea_pripojeni_plyn_kod"/>
    <tableColumn id="56" xr3:uid="{00000000-0010-0000-0000-000038000000}" name="tea_pripojeni_vodovod_kod"/>
    <tableColumn id="57" xr3:uid="{00000000-0010-0000-0000-000039000000}" name="tea_vybaveni_vytahem_kod"/>
    <tableColumn id="58" xr3:uid="{00000000-0010-0000-0000-00003A000000}" name="tea_zpusob_vytapeni_kod"/>
    <tableColumn id="59" xr3:uid="{00000000-0010-0000-0000-00003B000000}" name="obec_kod_ruian"/>
    <tableColumn id="60" xr3:uid="{00000000-0010-0000-0000-00003C000000}" name="so_typ_objektu_txt"/>
    <tableColumn id="61" xr3:uid="{00000000-0010-0000-0000-00003D000000}" name="so_zpusob_vyuziti_txt"/>
    <tableColumn id="62" xr3:uid="{00000000-0010-0000-0000-00003E000000}" name="so_druh_konstrukce_txt"/>
    <tableColumn id="63" xr3:uid="{00000000-0010-0000-0000-00003F000000}" name="tea_pripojeni_kanalizace_txt"/>
    <tableColumn id="64" xr3:uid="{00000000-0010-0000-0000-000040000000}" name="tea_pripojeni_plyn_txt"/>
    <tableColumn id="65" xr3:uid="{00000000-0010-0000-0000-000041000000}" name="tea_pripojeni_vodovod_txt"/>
    <tableColumn id="66" xr3:uid="{00000000-0010-0000-0000-000042000000}" name="tea_vybaveni_vytahem_txt"/>
    <tableColumn id="67" xr3:uid="{00000000-0010-0000-0000-000043000000}" name="tea_zpusob_vytapeni_txt"/>
    <tableColumn id="68" xr3:uid="{00000000-0010-0000-0000-000044000000}" name="has_vodovod"/>
    <tableColumn id="69" xr3:uid="{00000000-0010-0000-0000-000045000000}" name="has_kanalizace"/>
    <tableColumn id="70" xr3:uid="{00000000-0010-0000-0000-000046000000}" name="has_plyn"/>
    <tableColumn id="71" xr3:uid="{00000000-0010-0000-0000-000047000000}" name="has_vytah"/>
    <tableColumn id="72" xr3:uid="{00000000-0010-0000-0000-000048000000}" name="Uzit_Plocha"/>
    <tableColumn id="73" xr3:uid="{00000000-0010-0000-0000-000049000000}" name="JC_cal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5BF68-9D93-4DDA-9CC7-9C88C99B6F96}" name="TblData3" displayName="TblData3" ref="A1:BU40">
  <autoFilter ref="A1:BU40" xr:uid="{00000000-0009-0000-0100-000001000000}"/>
  <tableColumns count="73">
    <tableColumn id="1" xr3:uid="{9EF924EC-A97D-4FF2-A55A-36EB841B34DF}" name="id"/>
    <tableColumn id="2" xr3:uid="{C05B26A7-07B3-49D8-96B5-56D50396CFDB}" name="cislo_vkladu"/>
    <tableColumn id="3" xr3:uid="{3DEE87E3-E49D-4A3B-A15C-63318790E354}" name="datum_podani"/>
    <tableColumn id="4" xr3:uid="{E34B0D27-416B-49FB-9E9F-9F960B53A0AE}" name="nemovitost"/>
    <tableColumn id="5" xr3:uid="{8AAEDF86-46D2-41D7-B6AA-D3C265AF8888}" name="typ"/>
    <tableColumn id="6" xr3:uid="{C3B83606-E404-4395-A02C-742CB1021AD6}" name="parcel_number"/>
    <tableColumn id="7" xr3:uid="{A443F348-DC8B-457D-84E0-4BE65548E49E}" name="okres"/>
    <tableColumn id="8" xr3:uid="{060B74A0-69C6-4B75-9F1C-E2108DA49056}" name="kat_uzemi"/>
    <tableColumn id="9" xr3:uid="{A5A49889-480C-4A34-AC3B-48CE5B6E2490}" name="adresa"/>
    <tableColumn id="10" xr3:uid="{F2C63F0E-F6F8-4073-9F95-79F6BF39E3DE}" name="popis"/>
    <tableColumn id="11" xr3:uid="{E65CB0EE-B3C4-488F-BAC4-97DDEF58EF93}" name="#PARCEL"/>
    <tableColumn id="12" xr3:uid="{F34954CC-7CA0-46CE-93A9-A97DC23F11AE}" name="#CELKOVA_VYMERA"/>
    <tableColumn id="13" xr3:uid="{D54FACB4-9DD4-44F8-B50A-2832ECCE97B7}" name="cenovy_udaj"/>
    <tableColumn id="14" xr3:uid="{3A51D359-DEBA-438F-A655-47AE8E670764}" name="#JC"/>
    <tableColumn id="15" xr3:uid="{EB8BDC97-81E9-42A0-87F9-959083649602}" name="UP"/>
    <tableColumn id="16" xr3:uid="{866DBE02-8024-4E3F-9D99-93327B252FA5}" name="kat_uzemi_nazev"/>
    <tableColumn id="17" xr3:uid="{790044E0-D446-4834-BCF8-3A339E47E2DB}" name="parsing_status"/>
    <tableColumn id="18" xr3:uid="{1B25EBCB-C5F3-4BEB-B9DE-49D17A812A8D}" name="pattern_used"/>
    <tableColumn id="19" xr3:uid="{806D6B8A-79B5-4EA6-8809-DEEEB5042527}" name="gml_id"/>
    <tableColumn id="20" xr3:uid="{C23240A2-906D-479D-A2DF-0FF9E5CBE384}" name="areaValue_m2"/>
    <tableColumn id="21" xr3:uid="{44F4773D-0242-4750-9DAD-4E45A6F72E48}" name="beginLifespanVersion"/>
    <tableColumn id="22" xr3:uid="{2865653D-AB82-486F-8CF7-4BF8EAC6640B}" name="endLifespanVersion"/>
    <tableColumn id="23" xr3:uid="{9E820A05-823A-4277-BD37-7284C571FB8D}" name="label"/>
    <tableColumn id="24" xr3:uid="{92685BCD-D85E-4B29-A24E-EADAC0690163}" name="nationalCadastralReference"/>
    <tableColumn id="25" xr3:uid="{150532DC-6817-472A-A82D-2F218122AB6B}" name="inspire_localId"/>
    <tableColumn id="26" xr3:uid="{F056D951-CC69-46FF-8BFB-D346F70F0533}" name="inspire_namespace"/>
    <tableColumn id="27" xr3:uid="{872A4A12-7289-4F46-942A-0086E3E698BE}" name="refPoint_x"/>
    <tableColumn id="28" xr3:uid="{B3CFFFCD-B2DF-4513-AA13-BED388C4E9F1}" name="refPoint_y"/>
    <tableColumn id="29" xr3:uid="{EC8706A8-B0FC-4B96-BF51-73886E359674}" name="refPoint_lon"/>
    <tableColumn id="30" xr3:uid="{0D27EEE6-08D0-46AC-8CBE-09ACFB42B570}" name="refPoint_lat"/>
    <tableColumn id="31" xr3:uid="{214E90E9-BCAD-471C-A000-522D07AA252F}" name="geometry_posList"/>
    <tableColumn id="32" xr3:uid="{3604217B-DA4E-4B7C-A858-186C2216C7FA}" name="ku_kod"/>
    <tableColumn id="33" xr3:uid="{0EED7913-6A64-4C30-A6B4-5DC179DA0022}" name="ku_nazev"/>
    <tableColumn id="34" xr3:uid="{EA45F30B-09ED-4594-B856-93D5842AC2DE}" name="obec_kod"/>
    <tableColumn id="35" xr3:uid="{DE496B16-8710-4FBE-A698-81296F858B77}" name="obec_nazev"/>
    <tableColumn id="36" xr3:uid="{FD5558A6-385E-4AC2-81EC-31545E77D37C}" name="okres_kod"/>
    <tableColumn id="37" xr3:uid="{4A275264-AAFB-45A6-B6B3-8FC17F73C667}" name="okres_nazev"/>
    <tableColumn id="38" xr3:uid="{E92E37A3-79B1-4758-88C7-52E35C7CC2A9}" name="vusc_kod"/>
    <tableColumn id="39" xr3:uid="{3BB8CFC1-A81A-41FD-83C3-E02B920B1F74}" name="vusc_nazev"/>
    <tableColumn id="40" xr3:uid="{4AD8EACF-23EC-4311-AA22-4AA9B21AE238}" name="okres_key"/>
    <tableColumn id="41" xr3:uid="{413FA24F-4647-4491-B9ED-AE4B9FECF15E}" name="ku_key"/>
    <tableColumn id="42" xr3:uid="{35F1AD85-C10B-4E0F-9F25-0C1D354F8A3A}" name="parcela_key"/>
    <tableColumn id="43" xr3:uid="{BE617EA3-539D-4905-BA6B-6B3770F7B430}" name="ruian_parcela_id"/>
    <tableColumn id="44" xr3:uid="{62F58534-A7AF-4E06-BDE4-C880E20C8A10}" name="so_kod"/>
    <tableColumn id="45" xr3:uid="{9B1D5CCD-8EEB-4B5C-B09A-310424B5022A}" name="so_typ_objektu_kod"/>
    <tableColumn id="46" xr3:uid="{ECFBD118-72D1-4894-86A7-E6F7A265871B}" name="so_zpusob_vyuziti_kod"/>
    <tableColumn id="47" xr3:uid="{E3FD9A0A-F603-478F-AAB6-593319FF041D}" name="so_dokonceni"/>
    <tableColumn id="48" xr3:uid="{79AAA7B9-4105-4F1A-B9F1-09ED46F2C69D}" name="so_druh_konstrukce_kod"/>
    <tableColumn id="49" xr3:uid="{ACE7401B-EDDD-4859-B822-990B42002C9E}" name="tea_pocet_bytu"/>
    <tableColumn id="50" xr3:uid="{50ADCC6C-43C5-4F8B-BA05-661A7A6DCA0B}" name="tea_pocet_podlazi"/>
    <tableColumn id="51" xr3:uid="{623150E8-AA08-4103-9BB8-FB39BEFD8EE2}" name="tea_zastavena_plocha"/>
    <tableColumn id="52" xr3:uid="{0E4357F7-DC54-4F87-A12A-FEC0BB5CD6EC}" name="tea_obestaveny_prostor"/>
    <tableColumn id="53" xr3:uid="{644D3612-F1BF-4EA4-8A50-B5CAB491E889}" name="tea_podlahova_plocha"/>
    <tableColumn id="54" xr3:uid="{1E7DB4B8-0079-43E3-AD54-40CE0319A94B}" name="tea_pripojeni_kanalizace_kod"/>
    <tableColumn id="55" xr3:uid="{A74EEA55-85A3-437E-8E9C-4AF44AE0CD67}" name="tea_pripojeni_plyn_kod"/>
    <tableColumn id="56" xr3:uid="{95E03BA4-E51B-4261-A466-4D32120B547F}" name="tea_pripojeni_vodovod_kod"/>
    <tableColumn id="57" xr3:uid="{1F41FA81-4E7F-4C36-BB78-07B4DA74DD77}" name="tea_vybaveni_vytahem_kod"/>
    <tableColumn id="58" xr3:uid="{64356A42-83D1-4BC3-975B-34B517EE8CDB}" name="tea_zpusob_vytapeni_kod"/>
    <tableColumn id="59" xr3:uid="{9723BAC1-649F-4F5B-B4D5-9B3DA19240EF}" name="obec_kod_ruian"/>
    <tableColumn id="60" xr3:uid="{5C2B425A-674A-4B23-8A2B-315E79240549}" name="so_typ_objektu_txt"/>
    <tableColumn id="61" xr3:uid="{D2A8F6EC-058A-42FF-9039-424587F1AFB3}" name="so_zpusob_vyuziti_txt"/>
    <tableColumn id="62" xr3:uid="{6E98D5C8-A158-4A66-8AC3-3907B1EEAB29}" name="so_druh_konstrukce_txt"/>
    <tableColumn id="63" xr3:uid="{3C561FE4-605A-4467-9938-C3A7E77B5331}" name="tea_pripojeni_kanalizace_txt"/>
    <tableColumn id="64" xr3:uid="{83F1D249-442F-4331-AACF-312A3CE08C18}" name="tea_pripojeni_plyn_txt"/>
    <tableColumn id="65" xr3:uid="{AE696A14-4294-43A0-85EA-28196DAE7EDB}" name="tea_pripojeni_vodovod_txt"/>
    <tableColumn id="66" xr3:uid="{A12A0AAE-F127-4B18-808E-4B41EBA3C813}" name="tea_vybaveni_vytahem_txt"/>
    <tableColumn id="67" xr3:uid="{58603BB5-46EA-4E4B-868E-AA4E9C8882BF}" name="tea_zpusob_vytapeni_txt"/>
    <tableColumn id="68" xr3:uid="{9BF9A037-72DE-40E8-9560-F8E5395660A0}" name="has_vodovod"/>
    <tableColumn id="69" xr3:uid="{A94E1F22-B512-4D48-B09D-196C238FF207}" name="has_kanalizace"/>
    <tableColumn id="70" xr3:uid="{DA2F3920-8FAB-40BA-A4E1-95176631292A}" name="has_plyn"/>
    <tableColumn id="71" xr3:uid="{39C47A5D-8D20-4E47-97BF-FE1C363EA7A5}" name="has_vytah"/>
    <tableColumn id="72" xr3:uid="{5C41BDEA-10FA-4542-838D-C857FC16F89C}" name="Uzit_Plocha"/>
    <tableColumn id="73" xr3:uid="{EA469014-770C-4DD1-BEFD-4B5F1EA00C60}" name="JC_cal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8"/>
  <sheetViews>
    <sheetView workbookViewId="0">
      <pane ySplit="1" topLeftCell="A2" activePane="bottomLeft" state="frozen"/>
      <selection pane="bottomLeft" activeCell="A2" sqref="A2:XFD3"/>
    </sheetView>
  </sheetViews>
  <sheetFormatPr defaultRowHeight="15.05" x14ac:dyDescent="0.3"/>
  <cols>
    <col min="1" max="1" width="7" customWidth="1"/>
    <col min="2" max="2" width="18" customWidth="1"/>
    <col min="3" max="3" width="21" customWidth="1"/>
    <col min="4" max="4" width="12" customWidth="1"/>
    <col min="5" max="5" width="45" customWidth="1"/>
    <col min="6" max="6" width="15" customWidth="1"/>
    <col min="7" max="7" width="20" customWidth="1"/>
    <col min="8" max="8" width="17" customWidth="1"/>
    <col min="9" max="9" width="24" customWidth="1"/>
    <col min="10" max="10" width="27" customWidth="1"/>
    <col min="11" max="11" width="9" customWidth="1"/>
    <col min="12" max="12" width="17" customWidth="1"/>
    <col min="13" max="13" width="13" customWidth="1"/>
    <col min="14" max="15" width="8" customWidth="1"/>
    <col min="16" max="16" width="17" customWidth="1"/>
    <col min="17" max="17" width="16" customWidth="1"/>
    <col min="18" max="18" width="19" customWidth="1"/>
    <col min="19" max="19" width="16" customWidth="1"/>
    <col min="20" max="20" width="14" customWidth="1"/>
    <col min="21" max="21" width="22" customWidth="1"/>
    <col min="22" max="22" width="20" customWidth="1"/>
    <col min="23" max="23" width="10" customWidth="1"/>
    <col min="24" max="24" width="28" customWidth="1"/>
    <col min="25" max="25" width="17" customWidth="1"/>
    <col min="26" max="26" width="21" customWidth="1"/>
    <col min="27" max="27" width="12" customWidth="1"/>
    <col min="28" max="28" width="13" customWidth="1"/>
    <col min="29" max="30" width="20" customWidth="1"/>
    <col min="31" max="31" width="60" customWidth="1"/>
    <col min="32" max="32" width="8" customWidth="1"/>
    <col min="33" max="33" width="17" customWidth="1"/>
    <col min="34" max="34" width="10" customWidth="1"/>
    <col min="35" max="35" width="12" customWidth="1"/>
    <col min="36" max="36" width="11" customWidth="1"/>
    <col min="37" max="37" width="20" customWidth="1"/>
    <col min="38" max="38" width="10" customWidth="1"/>
    <col min="39" max="40" width="20" customWidth="1"/>
    <col min="41" max="41" width="17" customWidth="1"/>
    <col min="42" max="42" width="13" customWidth="1"/>
    <col min="43" max="43" width="18" customWidth="1"/>
    <col min="44" max="44" width="8" customWidth="1"/>
    <col min="45" max="45" width="20" customWidth="1"/>
    <col min="46" max="46" width="23" customWidth="1"/>
    <col min="47" max="47" width="14" customWidth="1"/>
    <col min="48" max="48" width="24" customWidth="1"/>
    <col min="49" max="49" width="16" customWidth="1"/>
    <col min="50" max="50" width="19" customWidth="1"/>
    <col min="51" max="51" width="22" customWidth="1"/>
    <col min="52" max="52" width="24" customWidth="1"/>
    <col min="53" max="53" width="22" customWidth="1"/>
    <col min="54" max="54" width="30" customWidth="1"/>
    <col min="55" max="55" width="24" customWidth="1"/>
    <col min="56" max="56" width="27" customWidth="1"/>
    <col min="57" max="57" width="26" customWidth="1"/>
    <col min="58" max="58" width="25" customWidth="1"/>
    <col min="59" max="59" width="16" customWidth="1"/>
    <col min="60" max="60" width="20" customWidth="1"/>
    <col min="61" max="61" width="23" customWidth="1"/>
    <col min="62" max="62" width="24" customWidth="1"/>
    <col min="63" max="63" width="30" customWidth="1"/>
    <col min="64" max="64" width="24" customWidth="1"/>
    <col min="65" max="65" width="27" customWidth="1"/>
    <col min="66" max="66" width="26" customWidth="1"/>
    <col min="67" max="67" width="25" customWidth="1"/>
    <col min="68" max="68" width="13" customWidth="1"/>
    <col min="69" max="69" width="16" customWidth="1"/>
    <col min="70" max="70" width="10" customWidth="1"/>
    <col min="71" max="71" width="11" customWidth="1"/>
    <col min="72" max="72" width="13" customWidth="1"/>
    <col min="73" max="73" width="9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>
        <v>34680</v>
      </c>
      <c r="B2" t="s">
        <v>98</v>
      </c>
      <c r="C2" s="2">
        <v>45637.472812499997</v>
      </c>
      <c r="D2" t="s">
        <v>74</v>
      </c>
      <c r="E2" t="s">
        <v>99</v>
      </c>
      <c r="F2" t="s">
        <v>100</v>
      </c>
      <c r="G2" t="s">
        <v>77</v>
      </c>
      <c r="H2" t="s">
        <v>101</v>
      </c>
      <c r="I2" t="s">
        <v>102</v>
      </c>
      <c r="J2" t="s">
        <v>103</v>
      </c>
      <c r="K2">
        <v>1</v>
      </c>
      <c r="L2">
        <v>7740</v>
      </c>
      <c r="M2">
        <v>3850000</v>
      </c>
      <c r="N2">
        <v>497.4</v>
      </c>
      <c r="O2" t="s">
        <v>81</v>
      </c>
      <c r="P2" t="s">
        <v>101</v>
      </c>
      <c r="Q2">
        <v>1</v>
      </c>
      <c r="R2" t="s">
        <v>82</v>
      </c>
      <c r="S2" t="s">
        <v>104</v>
      </c>
      <c r="T2">
        <v>7740</v>
      </c>
      <c r="U2" t="s">
        <v>105</v>
      </c>
      <c r="W2" t="s">
        <v>100</v>
      </c>
      <c r="X2" t="s">
        <v>106</v>
      </c>
      <c r="Y2" t="s">
        <v>104</v>
      </c>
      <c r="Z2" t="s">
        <v>86</v>
      </c>
      <c r="AA2">
        <v>-731275.26</v>
      </c>
      <c r="AB2">
        <v>-1041580.43</v>
      </c>
      <c r="AC2">
        <v>14.578294365480961</v>
      </c>
      <c r="AD2">
        <v>50.114256257747847</v>
      </c>
      <c r="AE2" t="s">
        <v>107</v>
      </c>
      <c r="AF2">
        <v>643777</v>
      </c>
      <c r="AG2" t="s">
        <v>101</v>
      </c>
      <c r="AH2">
        <v>554782</v>
      </c>
      <c r="AI2" t="s">
        <v>88</v>
      </c>
      <c r="AK2" t="s">
        <v>77</v>
      </c>
      <c r="AL2">
        <v>19</v>
      </c>
      <c r="AM2" t="s">
        <v>77</v>
      </c>
      <c r="AN2" t="s">
        <v>89</v>
      </c>
      <c r="AO2" t="s">
        <v>108</v>
      </c>
      <c r="AP2" t="s">
        <v>100</v>
      </c>
      <c r="AQ2">
        <v>2286696101</v>
      </c>
      <c r="BU2">
        <v>497.4</v>
      </c>
    </row>
    <row r="3" spans="1:73" x14ac:dyDescent="0.3">
      <c r="A3">
        <v>28286</v>
      </c>
      <c r="B3" t="s">
        <v>109</v>
      </c>
      <c r="C3" s="2">
        <v>45391.405300925922</v>
      </c>
      <c r="D3" t="s">
        <v>74</v>
      </c>
      <c r="E3" t="s">
        <v>110</v>
      </c>
      <c r="F3" t="s">
        <v>111</v>
      </c>
      <c r="G3" t="s">
        <v>77</v>
      </c>
      <c r="H3" t="s">
        <v>112</v>
      </c>
      <c r="I3" t="s">
        <v>113</v>
      </c>
      <c r="J3" t="s">
        <v>114</v>
      </c>
      <c r="K3">
        <v>3</v>
      </c>
      <c r="L3">
        <v>17082</v>
      </c>
      <c r="M3">
        <v>7089030</v>
      </c>
      <c r="N3">
        <v>415</v>
      </c>
      <c r="O3" t="s">
        <v>81</v>
      </c>
      <c r="P3" t="s">
        <v>112</v>
      </c>
      <c r="Q3">
        <v>1</v>
      </c>
      <c r="R3" t="s">
        <v>82</v>
      </c>
      <c r="S3" t="s">
        <v>115</v>
      </c>
      <c r="T3">
        <v>5336</v>
      </c>
      <c r="U3" t="s">
        <v>116</v>
      </c>
      <c r="W3" t="s">
        <v>111</v>
      </c>
      <c r="X3" t="s">
        <v>117</v>
      </c>
      <c r="Y3" t="s">
        <v>115</v>
      </c>
      <c r="Z3" t="s">
        <v>86</v>
      </c>
      <c r="AA3">
        <v>-736259.86</v>
      </c>
      <c r="AB3">
        <v>-1045597.54</v>
      </c>
      <c r="AC3">
        <v>14.516823198310361</v>
      </c>
      <c r="AD3">
        <v>50.072432073319021</v>
      </c>
      <c r="AE3" t="s">
        <v>118</v>
      </c>
      <c r="AF3">
        <v>731943</v>
      </c>
      <c r="AG3" t="s">
        <v>112</v>
      </c>
      <c r="AH3">
        <v>554782</v>
      </c>
      <c r="AI3" t="s">
        <v>88</v>
      </c>
      <c r="AK3" t="s">
        <v>77</v>
      </c>
      <c r="AL3">
        <v>19</v>
      </c>
      <c r="AM3" t="s">
        <v>77</v>
      </c>
      <c r="AN3" t="s">
        <v>89</v>
      </c>
      <c r="AO3" t="s">
        <v>119</v>
      </c>
      <c r="AP3" t="s">
        <v>111</v>
      </c>
      <c r="AQ3">
        <v>2632913101</v>
      </c>
      <c r="BU3">
        <v>415</v>
      </c>
    </row>
    <row r="4" spans="1:73" x14ac:dyDescent="0.3">
      <c r="A4">
        <v>28287</v>
      </c>
      <c r="B4" t="s">
        <v>109</v>
      </c>
      <c r="C4" s="2">
        <v>45391.405300925922</v>
      </c>
      <c r="D4" t="s">
        <v>74</v>
      </c>
      <c r="E4" t="s">
        <v>110</v>
      </c>
      <c r="F4" t="s">
        <v>120</v>
      </c>
      <c r="G4" t="s">
        <v>77</v>
      </c>
      <c r="H4" t="s">
        <v>112</v>
      </c>
      <c r="I4" t="s">
        <v>121</v>
      </c>
      <c r="J4" t="s">
        <v>122</v>
      </c>
      <c r="K4">
        <v>3</v>
      </c>
      <c r="L4">
        <v>17082</v>
      </c>
      <c r="M4">
        <v>7089030</v>
      </c>
      <c r="N4">
        <v>415</v>
      </c>
      <c r="O4" t="s">
        <v>81</v>
      </c>
      <c r="P4" t="s">
        <v>112</v>
      </c>
      <c r="Q4">
        <v>1</v>
      </c>
      <c r="R4" t="s">
        <v>82</v>
      </c>
      <c r="S4" t="s">
        <v>123</v>
      </c>
      <c r="T4">
        <v>6985</v>
      </c>
      <c r="U4" t="s">
        <v>124</v>
      </c>
      <c r="W4" t="s">
        <v>120</v>
      </c>
      <c r="X4" t="s">
        <v>125</v>
      </c>
      <c r="Y4" t="s">
        <v>123</v>
      </c>
      <c r="Z4" t="s">
        <v>86</v>
      </c>
      <c r="AA4">
        <v>-736109.62</v>
      </c>
      <c r="AB4">
        <v>-1045567.67</v>
      </c>
      <c r="AC4">
        <v>14.518846495857581</v>
      </c>
      <c r="AD4">
        <v>50.072880605894063</v>
      </c>
      <c r="AE4" t="s">
        <v>126</v>
      </c>
      <c r="AF4">
        <v>731943</v>
      </c>
      <c r="AG4" t="s">
        <v>112</v>
      </c>
      <c r="AH4">
        <v>554782</v>
      </c>
      <c r="AI4" t="s">
        <v>88</v>
      </c>
      <c r="AK4" t="s">
        <v>77</v>
      </c>
      <c r="AL4">
        <v>19</v>
      </c>
      <c r="AM4" t="s">
        <v>77</v>
      </c>
      <c r="AN4" t="s">
        <v>89</v>
      </c>
      <c r="AO4" t="s">
        <v>119</v>
      </c>
      <c r="AP4" t="s">
        <v>120</v>
      </c>
      <c r="AQ4">
        <v>2163965101</v>
      </c>
      <c r="BU4">
        <v>415</v>
      </c>
    </row>
    <row r="5" spans="1:73" x14ac:dyDescent="0.3">
      <c r="A5">
        <v>28288</v>
      </c>
      <c r="B5" t="s">
        <v>109</v>
      </c>
      <c r="C5" s="2">
        <v>45391.405300925922</v>
      </c>
      <c r="D5" t="s">
        <v>74</v>
      </c>
      <c r="E5" t="s">
        <v>127</v>
      </c>
      <c r="F5" t="s">
        <v>128</v>
      </c>
      <c r="G5" t="s">
        <v>77</v>
      </c>
      <c r="H5" t="s">
        <v>112</v>
      </c>
      <c r="I5" t="s">
        <v>129</v>
      </c>
      <c r="J5" t="s">
        <v>130</v>
      </c>
      <c r="K5">
        <v>3</v>
      </c>
      <c r="L5">
        <v>17082</v>
      </c>
      <c r="M5">
        <v>7089030</v>
      </c>
      <c r="N5">
        <v>415</v>
      </c>
      <c r="O5" t="s">
        <v>81</v>
      </c>
      <c r="P5" t="s">
        <v>112</v>
      </c>
      <c r="Q5">
        <v>1</v>
      </c>
      <c r="R5" t="s">
        <v>82</v>
      </c>
      <c r="S5" t="s">
        <v>131</v>
      </c>
      <c r="T5">
        <v>4761</v>
      </c>
      <c r="U5" t="s">
        <v>116</v>
      </c>
      <c r="W5" t="s">
        <v>128</v>
      </c>
      <c r="X5" t="s">
        <v>132</v>
      </c>
      <c r="Y5" t="s">
        <v>131</v>
      </c>
      <c r="Z5" t="s">
        <v>86</v>
      </c>
      <c r="AA5">
        <v>-736168.65</v>
      </c>
      <c r="AB5">
        <v>-1045612.38</v>
      </c>
      <c r="AC5">
        <v>14.518113736509729</v>
      </c>
      <c r="AD5">
        <v>50.07241062114425</v>
      </c>
      <c r="AE5" t="s">
        <v>133</v>
      </c>
      <c r="AF5">
        <v>731943</v>
      </c>
      <c r="AG5" t="s">
        <v>112</v>
      </c>
      <c r="AH5">
        <v>554782</v>
      </c>
      <c r="AI5" t="s">
        <v>88</v>
      </c>
      <c r="AK5" t="s">
        <v>77</v>
      </c>
      <c r="AL5">
        <v>19</v>
      </c>
      <c r="AM5" t="s">
        <v>77</v>
      </c>
      <c r="AN5" t="s">
        <v>89</v>
      </c>
      <c r="AO5" t="s">
        <v>119</v>
      </c>
      <c r="AP5" t="s">
        <v>128</v>
      </c>
      <c r="AQ5">
        <v>2632910101</v>
      </c>
      <c r="BU5">
        <v>415</v>
      </c>
    </row>
    <row r="6" spans="1:73" x14ac:dyDescent="0.3">
      <c r="A6">
        <v>28481</v>
      </c>
      <c r="B6" t="s">
        <v>134</v>
      </c>
      <c r="C6" s="2">
        <v>45441.69840277778</v>
      </c>
      <c r="D6" t="s">
        <v>74</v>
      </c>
      <c r="E6" t="s">
        <v>127</v>
      </c>
      <c r="F6" t="s">
        <v>135</v>
      </c>
      <c r="G6" t="s">
        <v>77</v>
      </c>
      <c r="H6" t="s">
        <v>136</v>
      </c>
      <c r="I6" t="s">
        <v>137</v>
      </c>
      <c r="J6" t="s">
        <v>138</v>
      </c>
      <c r="K6">
        <v>4</v>
      </c>
      <c r="L6">
        <v>7940</v>
      </c>
      <c r="M6">
        <v>2900000</v>
      </c>
      <c r="N6">
        <v>365.2</v>
      </c>
      <c r="O6" t="s">
        <v>139</v>
      </c>
      <c r="P6" t="s">
        <v>140</v>
      </c>
      <c r="Q6">
        <v>1</v>
      </c>
      <c r="R6" t="s">
        <v>82</v>
      </c>
      <c r="S6" t="s">
        <v>141</v>
      </c>
      <c r="T6">
        <v>111</v>
      </c>
      <c r="U6" t="s">
        <v>84</v>
      </c>
      <c r="W6" t="s">
        <v>135</v>
      </c>
      <c r="X6" t="s">
        <v>142</v>
      </c>
      <c r="Y6" t="s">
        <v>141</v>
      </c>
      <c r="Z6" t="s">
        <v>86</v>
      </c>
      <c r="AA6">
        <v>-749466.82</v>
      </c>
      <c r="AB6">
        <v>-1041454.46</v>
      </c>
      <c r="AC6">
        <v>14.326111378985299</v>
      </c>
      <c r="AD6">
        <v>50.093147678628434</v>
      </c>
      <c r="AE6" t="s">
        <v>143</v>
      </c>
      <c r="AF6">
        <v>729795</v>
      </c>
      <c r="AG6" t="s">
        <v>140</v>
      </c>
      <c r="AH6">
        <v>554782</v>
      </c>
      <c r="AI6" t="s">
        <v>88</v>
      </c>
      <c r="AK6" t="s">
        <v>77</v>
      </c>
      <c r="AL6">
        <v>19</v>
      </c>
      <c r="AM6" t="s">
        <v>77</v>
      </c>
      <c r="AN6" t="s">
        <v>89</v>
      </c>
      <c r="AO6" t="s">
        <v>144</v>
      </c>
      <c r="AP6" t="s">
        <v>135</v>
      </c>
      <c r="AQ6">
        <v>2392919101</v>
      </c>
      <c r="BU6">
        <v>365.2</v>
      </c>
    </row>
    <row r="7" spans="1:73" x14ac:dyDescent="0.3">
      <c r="A7">
        <v>28478</v>
      </c>
      <c r="B7" t="s">
        <v>134</v>
      </c>
      <c r="C7" s="2">
        <v>45441.69840277778</v>
      </c>
      <c r="D7" t="s">
        <v>74</v>
      </c>
      <c r="E7" t="s">
        <v>75</v>
      </c>
      <c r="F7" t="s">
        <v>145</v>
      </c>
      <c r="G7" t="s">
        <v>77</v>
      </c>
      <c r="H7" t="s">
        <v>136</v>
      </c>
      <c r="I7" t="s">
        <v>146</v>
      </c>
      <c r="J7" t="s">
        <v>147</v>
      </c>
      <c r="K7">
        <v>4</v>
      </c>
      <c r="L7">
        <v>7940</v>
      </c>
      <c r="M7">
        <v>2900000</v>
      </c>
      <c r="N7">
        <v>365.2</v>
      </c>
      <c r="O7" t="s">
        <v>81</v>
      </c>
      <c r="P7" t="s">
        <v>136</v>
      </c>
      <c r="Q7">
        <v>1</v>
      </c>
      <c r="R7" t="s">
        <v>82</v>
      </c>
      <c r="S7" t="s">
        <v>148</v>
      </c>
      <c r="T7">
        <v>174</v>
      </c>
      <c r="U7" t="s">
        <v>84</v>
      </c>
      <c r="W7" t="s">
        <v>145</v>
      </c>
      <c r="X7" t="s">
        <v>149</v>
      </c>
      <c r="Y7" t="s">
        <v>148</v>
      </c>
      <c r="Z7" t="s">
        <v>86</v>
      </c>
      <c r="AA7">
        <v>-749492.85</v>
      </c>
      <c r="AB7">
        <v>-1041389.69</v>
      </c>
      <c r="AC7">
        <v>14.32562648747998</v>
      </c>
      <c r="AD7">
        <v>50.093692296147793</v>
      </c>
      <c r="AE7" t="s">
        <v>150</v>
      </c>
      <c r="AF7">
        <v>729418</v>
      </c>
      <c r="AG7" t="s">
        <v>136</v>
      </c>
      <c r="AH7">
        <v>554782</v>
      </c>
      <c r="AI7" t="s">
        <v>88</v>
      </c>
      <c r="AK7" t="s">
        <v>77</v>
      </c>
      <c r="AL7">
        <v>19</v>
      </c>
      <c r="AM7" t="s">
        <v>77</v>
      </c>
      <c r="AN7" t="s">
        <v>89</v>
      </c>
      <c r="AO7" t="s">
        <v>151</v>
      </c>
      <c r="AP7" t="s">
        <v>145</v>
      </c>
      <c r="AQ7">
        <v>2389955101</v>
      </c>
      <c r="BU7">
        <v>365.2</v>
      </c>
    </row>
    <row r="8" spans="1:73" x14ac:dyDescent="0.3">
      <c r="A8">
        <v>28479</v>
      </c>
      <c r="B8" t="s">
        <v>134</v>
      </c>
      <c r="C8" s="2">
        <v>45441.69840277778</v>
      </c>
      <c r="D8" t="s">
        <v>74</v>
      </c>
      <c r="E8" t="s">
        <v>75</v>
      </c>
      <c r="F8" t="s">
        <v>152</v>
      </c>
      <c r="G8" t="s">
        <v>77</v>
      </c>
      <c r="H8" t="s">
        <v>136</v>
      </c>
      <c r="I8" t="s">
        <v>153</v>
      </c>
      <c r="J8" t="s">
        <v>154</v>
      </c>
      <c r="K8">
        <v>4</v>
      </c>
      <c r="L8">
        <v>7940</v>
      </c>
      <c r="M8">
        <v>2900000</v>
      </c>
      <c r="N8">
        <v>365.2</v>
      </c>
      <c r="O8" t="s">
        <v>81</v>
      </c>
      <c r="P8" t="s">
        <v>136</v>
      </c>
      <c r="Q8">
        <v>1</v>
      </c>
      <c r="R8" t="s">
        <v>82</v>
      </c>
      <c r="S8" t="s">
        <v>155</v>
      </c>
      <c r="T8">
        <v>5967</v>
      </c>
      <c r="U8" t="s">
        <v>84</v>
      </c>
      <c r="W8" t="s">
        <v>152</v>
      </c>
      <c r="X8" t="s">
        <v>156</v>
      </c>
      <c r="Y8" t="s">
        <v>155</v>
      </c>
      <c r="Z8" t="s">
        <v>86</v>
      </c>
      <c r="AA8">
        <v>-749388.78</v>
      </c>
      <c r="AB8">
        <v>-1041400.09</v>
      </c>
      <c r="AC8">
        <v>14.327087169277229</v>
      </c>
      <c r="AD8">
        <v>50.093728413411839</v>
      </c>
      <c r="AE8" t="s">
        <v>157</v>
      </c>
      <c r="AF8">
        <v>729418</v>
      </c>
      <c r="AG8" t="s">
        <v>136</v>
      </c>
      <c r="AH8">
        <v>554782</v>
      </c>
      <c r="AI8" t="s">
        <v>88</v>
      </c>
      <c r="AK8" t="s">
        <v>77</v>
      </c>
      <c r="AL8">
        <v>19</v>
      </c>
      <c r="AM8" t="s">
        <v>77</v>
      </c>
      <c r="AN8" t="s">
        <v>89</v>
      </c>
      <c r="AO8" t="s">
        <v>151</v>
      </c>
      <c r="AP8" t="s">
        <v>152</v>
      </c>
      <c r="AQ8">
        <v>2389953101</v>
      </c>
      <c r="BU8">
        <v>365.2</v>
      </c>
    </row>
    <row r="9" spans="1:73" x14ac:dyDescent="0.3">
      <c r="A9">
        <v>28480</v>
      </c>
      <c r="B9" t="s">
        <v>134</v>
      </c>
      <c r="C9" s="2">
        <v>45441.69840277778</v>
      </c>
      <c r="D9" t="s">
        <v>74</v>
      </c>
      <c r="E9" t="s">
        <v>75</v>
      </c>
      <c r="F9" t="s">
        <v>158</v>
      </c>
      <c r="G9" t="s">
        <v>77</v>
      </c>
      <c r="H9" t="s">
        <v>136</v>
      </c>
      <c r="I9" t="s">
        <v>159</v>
      </c>
      <c r="J9" t="s">
        <v>160</v>
      </c>
      <c r="K9">
        <v>4</v>
      </c>
      <c r="L9">
        <v>7940</v>
      </c>
      <c r="M9">
        <v>2900000</v>
      </c>
      <c r="N9">
        <v>365.2</v>
      </c>
      <c r="O9" t="s">
        <v>81</v>
      </c>
      <c r="P9" t="s">
        <v>136</v>
      </c>
      <c r="Q9">
        <v>1</v>
      </c>
      <c r="R9" t="s">
        <v>82</v>
      </c>
      <c r="S9" t="s">
        <v>161</v>
      </c>
      <c r="T9">
        <v>1688</v>
      </c>
      <c r="U9" t="s">
        <v>84</v>
      </c>
      <c r="W9" t="s">
        <v>158</v>
      </c>
      <c r="X9" t="s">
        <v>162</v>
      </c>
      <c r="Y9" t="s">
        <v>161</v>
      </c>
      <c r="Z9" t="s">
        <v>86</v>
      </c>
      <c r="AA9">
        <v>-749411.62</v>
      </c>
      <c r="AB9">
        <v>-1041375.46</v>
      </c>
      <c r="AC9">
        <v>14.326723626558829</v>
      </c>
      <c r="AD9">
        <v>50.093919507899187</v>
      </c>
      <c r="AE9" t="s">
        <v>163</v>
      </c>
      <c r="AF9">
        <v>729418</v>
      </c>
      <c r="AG9" t="s">
        <v>136</v>
      </c>
      <c r="AH9">
        <v>554782</v>
      </c>
      <c r="AI9" t="s">
        <v>88</v>
      </c>
      <c r="AK9" t="s">
        <v>77</v>
      </c>
      <c r="AL9">
        <v>19</v>
      </c>
      <c r="AM9" t="s">
        <v>77</v>
      </c>
      <c r="AN9" t="s">
        <v>89</v>
      </c>
      <c r="AO9" t="s">
        <v>151</v>
      </c>
      <c r="AP9" t="s">
        <v>158</v>
      </c>
      <c r="AQ9">
        <v>2389954101</v>
      </c>
      <c r="BU9">
        <v>365.2</v>
      </c>
    </row>
    <row r="10" spans="1:73" x14ac:dyDescent="0.3">
      <c r="A10">
        <v>99254</v>
      </c>
      <c r="B10" t="s">
        <v>164</v>
      </c>
      <c r="C10" s="2">
        <v>45890.434756944444</v>
      </c>
      <c r="D10" t="s">
        <v>74</v>
      </c>
      <c r="E10" t="s">
        <v>110</v>
      </c>
      <c r="F10" t="s">
        <v>165</v>
      </c>
      <c r="G10" t="s">
        <v>77</v>
      </c>
      <c r="H10" t="s">
        <v>112</v>
      </c>
      <c r="I10" t="s">
        <v>166</v>
      </c>
      <c r="J10" t="s">
        <v>167</v>
      </c>
      <c r="K10">
        <v>1</v>
      </c>
      <c r="L10">
        <v>5367</v>
      </c>
      <c r="M10">
        <v>1526613</v>
      </c>
      <c r="N10">
        <v>319</v>
      </c>
      <c r="O10" t="s">
        <v>81</v>
      </c>
      <c r="P10" t="s">
        <v>112</v>
      </c>
      <c r="Q10">
        <v>1</v>
      </c>
      <c r="R10" t="s">
        <v>82</v>
      </c>
      <c r="S10" t="s">
        <v>168</v>
      </c>
      <c r="T10">
        <v>5367</v>
      </c>
      <c r="U10" t="s">
        <v>124</v>
      </c>
      <c r="W10" t="s">
        <v>165</v>
      </c>
      <c r="X10" t="s">
        <v>169</v>
      </c>
      <c r="Y10" t="s">
        <v>168</v>
      </c>
      <c r="Z10" t="s">
        <v>86</v>
      </c>
      <c r="AA10">
        <v>-736199.43</v>
      </c>
      <c r="AB10">
        <v>-1045604.74</v>
      </c>
      <c r="AC10">
        <v>14.51767326197551</v>
      </c>
      <c r="AD10">
        <v>50.072441310457663</v>
      </c>
      <c r="AE10" t="s">
        <v>170</v>
      </c>
      <c r="AF10">
        <v>731943</v>
      </c>
      <c r="AG10" t="s">
        <v>112</v>
      </c>
      <c r="AH10">
        <v>554782</v>
      </c>
      <c r="AI10" t="s">
        <v>88</v>
      </c>
      <c r="AK10" t="s">
        <v>77</v>
      </c>
      <c r="AL10">
        <v>19</v>
      </c>
      <c r="AM10" t="s">
        <v>77</v>
      </c>
      <c r="AN10" t="s">
        <v>89</v>
      </c>
      <c r="AO10" t="s">
        <v>119</v>
      </c>
      <c r="AP10" t="s">
        <v>165</v>
      </c>
      <c r="AQ10">
        <v>2163970101</v>
      </c>
      <c r="BU10">
        <v>284.39999999999998</v>
      </c>
    </row>
    <row r="11" spans="1:73" x14ac:dyDescent="0.3">
      <c r="A11">
        <v>97516</v>
      </c>
      <c r="B11" t="s">
        <v>171</v>
      </c>
      <c r="C11" s="2">
        <v>45763.473807870367</v>
      </c>
      <c r="D11" t="s">
        <v>74</v>
      </c>
      <c r="E11" t="s">
        <v>172</v>
      </c>
      <c r="F11" t="s">
        <v>173</v>
      </c>
      <c r="G11" t="s">
        <v>77</v>
      </c>
      <c r="H11" t="s">
        <v>174</v>
      </c>
      <c r="I11" t="s">
        <v>175</v>
      </c>
      <c r="J11" t="s">
        <v>176</v>
      </c>
      <c r="K11">
        <v>4</v>
      </c>
      <c r="L11">
        <v>37961</v>
      </c>
      <c r="M11">
        <v>8200000</v>
      </c>
      <c r="N11">
        <v>216</v>
      </c>
      <c r="O11" t="s">
        <v>177</v>
      </c>
      <c r="P11" t="s">
        <v>174</v>
      </c>
      <c r="Q11">
        <v>1</v>
      </c>
      <c r="R11" t="s">
        <v>82</v>
      </c>
      <c r="S11" t="s">
        <v>178</v>
      </c>
      <c r="T11">
        <v>1054</v>
      </c>
      <c r="U11" t="s">
        <v>179</v>
      </c>
      <c r="W11" t="s">
        <v>173</v>
      </c>
      <c r="X11" t="s">
        <v>180</v>
      </c>
      <c r="Y11" t="s">
        <v>178</v>
      </c>
      <c r="Z11" t="s">
        <v>86</v>
      </c>
      <c r="AA11">
        <v>-737706.38</v>
      </c>
      <c r="AB11">
        <v>-1053288.19</v>
      </c>
      <c r="AC11">
        <v>14.511319260231129</v>
      </c>
      <c r="AD11">
        <v>50.002160465270613</v>
      </c>
      <c r="AE11" t="s">
        <v>181</v>
      </c>
      <c r="AF11">
        <v>762130</v>
      </c>
      <c r="AG11" t="s">
        <v>174</v>
      </c>
      <c r="AH11">
        <v>554782</v>
      </c>
      <c r="AI11" t="s">
        <v>88</v>
      </c>
      <c r="AK11" t="s">
        <v>77</v>
      </c>
      <c r="AL11">
        <v>19</v>
      </c>
      <c r="AM11" t="s">
        <v>77</v>
      </c>
      <c r="AN11" t="s">
        <v>89</v>
      </c>
      <c r="AO11" t="s">
        <v>182</v>
      </c>
      <c r="AP11" t="s">
        <v>173</v>
      </c>
      <c r="AQ11">
        <v>62938620010</v>
      </c>
      <c r="BU11">
        <v>216</v>
      </c>
    </row>
    <row r="12" spans="1:73" x14ac:dyDescent="0.3">
      <c r="A12">
        <v>97517</v>
      </c>
      <c r="B12" t="s">
        <v>171</v>
      </c>
      <c r="C12" s="2">
        <v>45763.473807870367</v>
      </c>
      <c r="D12" t="s">
        <v>74</v>
      </c>
      <c r="E12" t="s">
        <v>183</v>
      </c>
      <c r="F12" t="s">
        <v>184</v>
      </c>
      <c r="G12" t="s">
        <v>77</v>
      </c>
      <c r="H12" t="s">
        <v>174</v>
      </c>
      <c r="I12" t="s">
        <v>185</v>
      </c>
      <c r="J12" t="s">
        <v>186</v>
      </c>
      <c r="K12">
        <v>4</v>
      </c>
      <c r="L12">
        <v>37961</v>
      </c>
      <c r="M12">
        <v>8200000</v>
      </c>
      <c r="N12">
        <v>216</v>
      </c>
      <c r="O12" t="s">
        <v>81</v>
      </c>
      <c r="P12" t="s">
        <v>174</v>
      </c>
      <c r="Q12">
        <v>1</v>
      </c>
      <c r="R12" t="s">
        <v>82</v>
      </c>
      <c r="S12" t="s">
        <v>187</v>
      </c>
      <c r="T12">
        <v>36832</v>
      </c>
      <c r="U12" t="s">
        <v>179</v>
      </c>
      <c r="W12" t="s">
        <v>184</v>
      </c>
      <c r="X12" t="s">
        <v>188</v>
      </c>
      <c r="Y12" t="s">
        <v>187</v>
      </c>
      <c r="Z12" t="s">
        <v>86</v>
      </c>
      <c r="AA12">
        <v>-737796.44</v>
      </c>
      <c r="AB12">
        <v>-1053262.6100000001</v>
      </c>
      <c r="AC12">
        <v>14.510026243515229</v>
      </c>
      <c r="AD12">
        <v>50.002278919334167</v>
      </c>
      <c r="AE12" t="s">
        <v>189</v>
      </c>
      <c r="AF12">
        <v>762130</v>
      </c>
      <c r="AG12" t="s">
        <v>174</v>
      </c>
      <c r="AH12">
        <v>554782</v>
      </c>
      <c r="AI12" t="s">
        <v>88</v>
      </c>
      <c r="AK12" t="s">
        <v>77</v>
      </c>
      <c r="AL12">
        <v>19</v>
      </c>
      <c r="AM12" t="s">
        <v>77</v>
      </c>
      <c r="AN12" t="s">
        <v>89</v>
      </c>
      <c r="AO12" t="s">
        <v>182</v>
      </c>
      <c r="AP12" t="s">
        <v>184</v>
      </c>
      <c r="AQ12">
        <v>62938617010</v>
      </c>
      <c r="BU12">
        <v>216</v>
      </c>
    </row>
    <row r="13" spans="1:73" x14ac:dyDescent="0.3">
      <c r="A13">
        <v>97514</v>
      </c>
      <c r="B13" t="s">
        <v>171</v>
      </c>
      <c r="C13" s="2">
        <v>45763.473807870367</v>
      </c>
      <c r="D13" t="s">
        <v>74</v>
      </c>
      <c r="E13" t="s">
        <v>190</v>
      </c>
      <c r="F13" t="s">
        <v>191</v>
      </c>
      <c r="G13" t="s">
        <v>77</v>
      </c>
      <c r="H13" t="s">
        <v>174</v>
      </c>
      <c r="I13" t="s">
        <v>192</v>
      </c>
      <c r="J13" t="s">
        <v>193</v>
      </c>
      <c r="K13">
        <v>4</v>
      </c>
      <c r="L13">
        <v>37961</v>
      </c>
      <c r="M13">
        <v>8200000</v>
      </c>
      <c r="N13">
        <v>216</v>
      </c>
      <c r="O13" t="s">
        <v>194</v>
      </c>
      <c r="P13" t="s">
        <v>174</v>
      </c>
      <c r="Q13">
        <v>1</v>
      </c>
      <c r="R13" t="s">
        <v>82</v>
      </c>
      <c r="S13" t="s">
        <v>195</v>
      </c>
      <c r="T13">
        <v>57</v>
      </c>
      <c r="U13" t="s">
        <v>196</v>
      </c>
      <c r="W13" t="s">
        <v>191</v>
      </c>
      <c r="X13" t="s">
        <v>197</v>
      </c>
      <c r="Y13" t="s">
        <v>195</v>
      </c>
      <c r="Z13" t="s">
        <v>86</v>
      </c>
      <c r="AA13">
        <v>-737784.57</v>
      </c>
      <c r="AB13">
        <v>-1053148.03</v>
      </c>
      <c r="AC13">
        <v>14.50997428429584</v>
      </c>
      <c r="AD13">
        <v>50.00331411464844</v>
      </c>
      <c r="AE13" t="s">
        <v>198</v>
      </c>
      <c r="AF13">
        <v>762130</v>
      </c>
      <c r="AG13" t="s">
        <v>174</v>
      </c>
      <c r="AH13">
        <v>554782</v>
      </c>
      <c r="AI13" t="s">
        <v>88</v>
      </c>
      <c r="AK13" t="s">
        <v>77</v>
      </c>
      <c r="AL13">
        <v>19</v>
      </c>
      <c r="AM13" t="s">
        <v>77</v>
      </c>
      <c r="AN13" t="s">
        <v>89</v>
      </c>
      <c r="AO13" t="s">
        <v>182</v>
      </c>
      <c r="AP13" t="s">
        <v>191</v>
      </c>
      <c r="AQ13">
        <v>2136821101</v>
      </c>
      <c r="BU13">
        <v>216</v>
      </c>
    </row>
    <row r="14" spans="1:73" x14ac:dyDescent="0.3">
      <c r="A14">
        <v>97515</v>
      </c>
      <c r="B14" t="s">
        <v>171</v>
      </c>
      <c r="C14" s="2">
        <v>45763.473807870367</v>
      </c>
      <c r="D14" t="s">
        <v>74</v>
      </c>
      <c r="E14" t="s">
        <v>190</v>
      </c>
      <c r="F14" t="s">
        <v>199</v>
      </c>
      <c r="G14" t="s">
        <v>77</v>
      </c>
      <c r="H14" t="s">
        <v>174</v>
      </c>
      <c r="I14" t="s">
        <v>200</v>
      </c>
      <c r="J14" t="s">
        <v>201</v>
      </c>
      <c r="K14">
        <v>4</v>
      </c>
      <c r="L14">
        <v>37961</v>
      </c>
      <c r="M14">
        <v>8200000</v>
      </c>
      <c r="N14">
        <v>216</v>
      </c>
      <c r="O14" t="s">
        <v>194</v>
      </c>
      <c r="P14" t="s">
        <v>174</v>
      </c>
      <c r="Q14">
        <v>1</v>
      </c>
      <c r="R14" t="s">
        <v>82</v>
      </c>
      <c r="S14" t="s">
        <v>202</v>
      </c>
      <c r="T14">
        <v>18</v>
      </c>
      <c r="U14" t="s">
        <v>196</v>
      </c>
      <c r="W14" t="s">
        <v>199</v>
      </c>
      <c r="X14" t="s">
        <v>203</v>
      </c>
      <c r="Y14" t="s">
        <v>202</v>
      </c>
      <c r="Z14" t="s">
        <v>86</v>
      </c>
      <c r="AA14">
        <v>-737856.29</v>
      </c>
      <c r="AB14">
        <v>-1053181.17</v>
      </c>
      <c r="AC14">
        <v>14.50904545191872</v>
      </c>
      <c r="AD14">
        <v>50.002931718994908</v>
      </c>
      <c r="AE14" t="s">
        <v>204</v>
      </c>
      <c r="AF14">
        <v>762130</v>
      </c>
      <c r="AG14" t="s">
        <v>174</v>
      </c>
      <c r="AH14">
        <v>554782</v>
      </c>
      <c r="AI14" t="s">
        <v>88</v>
      </c>
      <c r="AK14" t="s">
        <v>77</v>
      </c>
      <c r="AL14">
        <v>19</v>
      </c>
      <c r="AM14" t="s">
        <v>77</v>
      </c>
      <c r="AN14" t="s">
        <v>89</v>
      </c>
      <c r="AO14" t="s">
        <v>182</v>
      </c>
      <c r="AP14" t="s">
        <v>199</v>
      </c>
      <c r="AQ14">
        <v>2136822101</v>
      </c>
      <c r="BU14">
        <v>216</v>
      </c>
    </row>
    <row r="15" spans="1:73" x14ac:dyDescent="0.3">
      <c r="A15">
        <v>32369</v>
      </c>
      <c r="B15" t="s">
        <v>205</v>
      </c>
      <c r="C15" s="2">
        <v>44413.338506944441</v>
      </c>
      <c r="D15" t="s">
        <v>74</v>
      </c>
      <c r="E15" t="s">
        <v>110</v>
      </c>
      <c r="F15" t="s">
        <v>206</v>
      </c>
      <c r="G15" t="s">
        <v>77</v>
      </c>
      <c r="H15" t="s">
        <v>207</v>
      </c>
      <c r="I15" t="s">
        <v>208</v>
      </c>
      <c r="J15" t="s">
        <v>209</v>
      </c>
      <c r="K15">
        <v>5</v>
      </c>
      <c r="L15">
        <v>19641</v>
      </c>
      <c r="M15">
        <v>3122919</v>
      </c>
      <c r="N15">
        <v>159</v>
      </c>
      <c r="O15" t="s">
        <v>139</v>
      </c>
      <c r="P15" t="s">
        <v>207</v>
      </c>
      <c r="Q15">
        <v>1</v>
      </c>
      <c r="R15" t="s">
        <v>82</v>
      </c>
      <c r="S15" t="s">
        <v>210</v>
      </c>
      <c r="T15">
        <v>210</v>
      </c>
      <c r="U15" t="s">
        <v>211</v>
      </c>
      <c r="W15" t="s">
        <v>206</v>
      </c>
      <c r="X15" t="s">
        <v>212</v>
      </c>
      <c r="Y15" t="s">
        <v>210</v>
      </c>
      <c r="Z15" t="s">
        <v>86</v>
      </c>
      <c r="AA15">
        <v>-751330.89</v>
      </c>
      <c r="AB15">
        <v>-1040739.97</v>
      </c>
      <c r="AC15">
        <v>14.29893041531081</v>
      </c>
      <c r="AD15">
        <v>50.097201563123221</v>
      </c>
      <c r="AE15" t="s">
        <v>213</v>
      </c>
      <c r="AF15">
        <v>729710</v>
      </c>
      <c r="AG15" t="s">
        <v>207</v>
      </c>
      <c r="AH15">
        <v>554782</v>
      </c>
      <c r="AI15" t="s">
        <v>88</v>
      </c>
      <c r="AK15" t="s">
        <v>77</v>
      </c>
      <c r="AL15">
        <v>19</v>
      </c>
      <c r="AM15" t="s">
        <v>77</v>
      </c>
      <c r="AN15" t="s">
        <v>89</v>
      </c>
      <c r="AO15" t="s">
        <v>214</v>
      </c>
      <c r="AP15" t="s">
        <v>206</v>
      </c>
      <c r="AQ15">
        <v>2296467101</v>
      </c>
      <c r="BU15">
        <v>159</v>
      </c>
    </row>
    <row r="16" spans="1:73" x14ac:dyDescent="0.3">
      <c r="A16">
        <v>32371</v>
      </c>
      <c r="B16" t="s">
        <v>205</v>
      </c>
      <c r="C16" s="2">
        <v>44413.338506944441</v>
      </c>
      <c r="D16" t="s">
        <v>74</v>
      </c>
      <c r="E16" t="s">
        <v>110</v>
      </c>
      <c r="F16" t="s">
        <v>215</v>
      </c>
      <c r="G16" t="s">
        <v>77</v>
      </c>
      <c r="H16" t="s">
        <v>207</v>
      </c>
      <c r="I16" t="s">
        <v>216</v>
      </c>
      <c r="J16" t="s">
        <v>217</v>
      </c>
      <c r="K16">
        <v>5</v>
      </c>
      <c r="L16">
        <v>19641</v>
      </c>
      <c r="M16">
        <v>3122919</v>
      </c>
      <c r="N16">
        <v>159</v>
      </c>
      <c r="O16" t="s">
        <v>139</v>
      </c>
      <c r="P16" t="s">
        <v>207</v>
      </c>
      <c r="Q16">
        <v>1</v>
      </c>
      <c r="R16" t="s">
        <v>82</v>
      </c>
      <c r="S16" t="s">
        <v>218</v>
      </c>
      <c r="T16">
        <v>11336</v>
      </c>
      <c r="U16" t="s">
        <v>211</v>
      </c>
      <c r="W16" t="s">
        <v>215</v>
      </c>
      <c r="X16" t="s">
        <v>219</v>
      </c>
      <c r="Y16" t="s">
        <v>218</v>
      </c>
      <c r="Z16" t="s">
        <v>86</v>
      </c>
      <c r="AA16">
        <v>-751263.79</v>
      </c>
      <c r="AB16">
        <v>-1040653.19</v>
      </c>
      <c r="AC16">
        <v>14.29969202216872</v>
      </c>
      <c r="AD16">
        <v>50.098057575806003</v>
      </c>
      <c r="AE16" t="s">
        <v>220</v>
      </c>
      <c r="AF16">
        <v>729710</v>
      </c>
      <c r="AG16" t="s">
        <v>207</v>
      </c>
      <c r="AH16">
        <v>554782</v>
      </c>
      <c r="AI16" t="s">
        <v>88</v>
      </c>
      <c r="AK16" t="s">
        <v>77</v>
      </c>
      <c r="AL16">
        <v>19</v>
      </c>
      <c r="AM16" t="s">
        <v>77</v>
      </c>
      <c r="AN16" t="s">
        <v>89</v>
      </c>
      <c r="AO16" t="s">
        <v>214</v>
      </c>
      <c r="AP16" t="s">
        <v>215</v>
      </c>
      <c r="AQ16">
        <v>2296470101</v>
      </c>
      <c r="BU16">
        <v>159</v>
      </c>
    </row>
    <row r="17" spans="1:73" x14ac:dyDescent="0.3">
      <c r="A17">
        <v>32372</v>
      </c>
      <c r="B17" t="s">
        <v>205</v>
      </c>
      <c r="C17" s="2">
        <v>44413.338506944441</v>
      </c>
      <c r="D17" t="s">
        <v>74</v>
      </c>
      <c r="E17" t="s">
        <v>110</v>
      </c>
      <c r="F17" t="s">
        <v>221</v>
      </c>
      <c r="G17" t="s">
        <v>77</v>
      </c>
      <c r="H17" t="s">
        <v>207</v>
      </c>
      <c r="I17" t="s">
        <v>222</v>
      </c>
      <c r="J17" t="s">
        <v>223</v>
      </c>
      <c r="K17">
        <v>5</v>
      </c>
      <c r="L17">
        <v>19641</v>
      </c>
      <c r="M17">
        <v>3122919</v>
      </c>
      <c r="N17">
        <v>159</v>
      </c>
      <c r="O17" t="s">
        <v>139</v>
      </c>
      <c r="P17" t="s">
        <v>207</v>
      </c>
      <c r="Q17">
        <v>1</v>
      </c>
      <c r="R17" t="s">
        <v>82</v>
      </c>
      <c r="S17" t="s">
        <v>224</v>
      </c>
      <c r="T17">
        <v>3583</v>
      </c>
      <c r="U17" t="s">
        <v>211</v>
      </c>
      <c r="W17" t="s">
        <v>221</v>
      </c>
      <c r="X17" t="s">
        <v>225</v>
      </c>
      <c r="Y17" t="s">
        <v>224</v>
      </c>
      <c r="Z17" t="s">
        <v>86</v>
      </c>
      <c r="AA17">
        <v>-751322.73</v>
      </c>
      <c r="AB17">
        <v>-1040719.56</v>
      </c>
      <c r="AC17">
        <v>14.29900402792866</v>
      </c>
      <c r="AD17">
        <v>50.097393438749187</v>
      </c>
      <c r="AE17" t="s">
        <v>226</v>
      </c>
      <c r="AF17">
        <v>729710</v>
      </c>
      <c r="AG17" t="s">
        <v>207</v>
      </c>
      <c r="AH17">
        <v>554782</v>
      </c>
      <c r="AI17" t="s">
        <v>88</v>
      </c>
      <c r="AK17" t="s">
        <v>77</v>
      </c>
      <c r="AL17">
        <v>19</v>
      </c>
      <c r="AM17" t="s">
        <v>77</v>
      </c>
      <c r="AN17" t="s">
        <v>89</v>
      </c>
      <c r="AO17" t="s">
        <v>214</v>
      </c>
      <c r="AP17" t="s">
        <v>221</v>
      </c>
      <c r="AQ17">
        <v>2296468101</v>
      </c>
      <c r="BU17">
        <v>159</v>
      </c>
    </row>
    <row r="18" spans="1:73" x14ac:dyDescent="0.3">
      <c r="A18">
        <v>32368</v>
      </c>
      <c r="B18" t="s">
        <v>205</v>
      </c>
      <c r="C18" s="2">
        <v>44413.338506944441</v>
      </c>
      <c r="D18" t="s">
        <v>74</v>
      </c>
      <c r="E18" t="s">
        <v>110</v>
      </c>
      <c r="F18" t="s">
        <v>227</v>
      </c>
      <c r="G18" t="s">
        <v>77</v>
      </c>
      <c r="H18" t="s">
        <v>207</v>
      </c>
      <c r="I18" t="s">
        <v>228</v>
      </c>
      <c r="J18" t="s">
        <v>229</v>
      </c>
      <c r="K18">
        <v>5</v>
      </c>
      <c r="L18">
        <v>19641</v>
      </c>
      <c r="M18">
        <v>3122919</v>
      </c>
      <c r="N18">
        <v>159</v>
      </c>
      <c r="O18" t="s">
        <v>81</v>
      </c>
      <c r="P18" t="s">
        <v>207</v>
      </c>
      <c r="Q18">
        <v>1</v>
      </c>
      <c r="R18" t="s">
        <v>82</v>
      </c>
      <c r="S18" t="s">
        <v>230</v>
      </c>
      <c r="T18">
        <v>4326</v>
      </c>
      <c r="U18" t="s">
        <v>211</v>
      </c>
      <c r="W18" t="s">
        <v>227</v>
      </c>
      <c r="X18" t="s">
        <v>231</v>
      </c>
      <c r="Y18" t="s">
        <v>230</v>
      </c>
      <c r="Z18" t="s">
        <v>86</v>
      </c>
      <c r="AA18">
        <v>-751348.8</v>
      </c>
      <c r="AB18">
        <v>-1040766.73</v>
      </c>
      <c r="AC18">
        <v>14.298734071225811</v>
      </c>
      <c r="AD18">
        <v>50.096941046617047</v>
      </c>
      <c r="AE18" t="s">
        <v>232</v>
      </c>
      <c r="AF18">
        <v>729710</v>
      </c>
      <c r="AG18" t="s">
        <v>207</v>
      </c>
      <c r="AH18">
        <v>554782</v>
      </c>
      <c r="AI18" t="s">
        <v>88</v>
      </c>
      <c r="AK18" t="s">
        <v>77</v>
      </c>
      <c r="AL18">
        <v>19</v>
      </c>
      <c r="AM18" t="s">
        <v>77</v>
      </c>
      <c r="AN18" t="s">
        <v>89</v>
      </c>
      <c r="AO18" t="s">
        <v>214</v>
      </c>
      <c r="AP18" t="s">
        <v>227</v>
      </c>
      <c r="AQ18">
        <v>2296466101</v>
      </c>
      <c r="BU18">
        <v>159</v>
      </c>
    </row>
    <row r="19" spans="1:73" x14ac:dyDescent="0.3">
      <c r="A19">
        <v>32370</v>
      </c>
      <c r="B19" t="s">
        <v>205</v>
      </c>
      <c r="C19" s="2">
        <v>44413.338506944441</v>
      </c>
      <c r="D19" t="s">
        <v>74</v>
      </c>
      <c r="E19" t="s">
        <v>110</v>
      </c>
      <c r="F19" t="s">
        <v>233</v>
      </c>
      <c r="G19" t="s">
        <v>77</v>
      </c>
      <c r="H19" t="s">
        <v>207</v>
      </c>
      <c r="I19" t="s">
        <v>234</v>
      </c>
      <c r="J19" t="s">
        <v>235</v>
      </c>
      <c r="K19">
        <v>5</v>
      </c>
      <c r="L19">
        <v>19641</v>
      </c>
      <c r="M19">
        <v>3122919</v>
      </c>
      <c r="N19">
        <v>159</v>
      </c>
      <c r="O19" t="s">
        <v>139</v>
      </c>
      <c r="P19" t="s">
        <v>207</v>
      </c>
      <c r="Q19">
        <v>1</v>
      </c>
      <c r="R19" t="s">
        <v>82</v>
      </c>
      <c r="S19" t="s">
        <v>236</v>
      </c>
      <c r="T19">
        <v>186</v>
      </c>
      <c r="U19" t="s">
        <v>211</v>
      </c>
      <c r="W19" t="s">
        <v>233</v>
      </c>
      <c r="X19" t="s">
        <v>237</v>
      </c>
      <c r="Y19" t="s">
        <v>236</v>
      </c>
      <c r="Z19" t="s">
        <v>86</v>
      </c>
      <c r="AA19">
        <v>-751316.13</v>
      </c>
      <c r="AB19">
        <v>-1040696.43</v>
      </c>
      <c r="AC19">
        <v>14.29905080036726</v>
      </c>
      <c r="AD19">
        <v>50.097607601642288</v>
      </c>
      <c r="AE19" t="s">
        <v>238</v>
      </c>
      <c r="AF19">
        <v>729710</v>
      </c>
      <c r="AG19" t="s">
        <v>207</v>
      </c>
      <c r="AH19">
        <v>554782</v>
      </c>
      <c r="AI19" t="s">
        <v>88</v>
      </c>
      <c r="AK19" t="s">
        <v>77</v>
      </c>
      <c r="AL19">
        <v>19</v>
      </c>
      <c r="AM19" t="s">
        <v>77</v>
      </c>
      <c r="AN19" t="s">
        <v>89</v>
      </c>
      <c r="AO19" t="s">
        <v>214</v>
      </c>
      <c r="AP19" t="s">
        <v>233</v>
      </c>
      <c r="AQ19">
        <v>2296469101</v>
      </c>
      <c r="BU19">
        <v>159</v>
      </c>
    </row>
    <row r="20" spans="1:73" x14ac:dyDescent="0.3">
      <c r="A20">
        <v>43349</v>
      </c>
      <c r="B20" t="s">
        <v>239</v>
      </c>
      <c r="C20" s="2">
        <v>44564.664259259262</v>
      </c>
      <c r="D20" t="s">
        <v>74</v>
      </c>
      <c r="E20" t="s">
        <v>127</v>
      </c>
      <c r="F20" t="s">
        <v>240</v>
      </c>
      <c r="G20" t="s">
        <v>77</v>
      </c>
      <c r="H20" t="s">
        <v>241</v>
      </c>
      <c r="I20" t="s">
        <v>242</v>
      </c>
      <c r="J20" t="s">
        <v>243</v>
      </c>
      <c r="K20">
        <v>1</v>
      </c>
      <c r="L20">
        <v>10824</v>
      </c>
      <c r="M20">
        <v>1721016</v>
      </c>
      <c r="N20">
        <v>159</v>
      </c>
      <c r="O20" t="s">
        <v>81</v>
      </c>
      <c r="P20" t="s">
        <v>241</v>
      </c>
      <c r="Q20">
        <v>1</v>
      </c>
      <c r="R20" t="s">
        <v>82</v>
      </c>
      <c r="S20" t="s">
        <v>244</v>
      </c>
      <c r="T20">
        <v>10824</v>
      </c>
      <c r="U20" t="s">
        <v>245</v>
      </c>
      <c r="W20" t="s">
        <v>240</v>
      </c>
      <c r="X20" t="s">
        <v>246</v>
      </c>
      <c r="Y20" t="s">
        <v>244</v>
      </c>
      <c r="Z20" t="s">
        <v>86</v>
      </c>
      <c r="AA20">
        <v>-740314</v>
      </c>
      <c r="AB20">
        <v>-1050736</v>
      </c>
      <c r="AC20">
        <v>14.470449510493109</v>
      </c>
      <c r="AD20">
        <v>50.021721906543974</v>
      </c>
      <c r="AE20" t="s">
        <v>247</v>
      </c>
      <c r="AF20">
        <v>728314</v>
      </c>
      <c r="AG20" t="s">
        <v>241</v>
      </c>
      <c r="AH20">
        <v>554782</v>
      </c>
      <c r="AI20" t="s">
        <v>88</v>
      </c>
      <c r="AK20" t="s">
        <v>77</v>
      </c>
      <c r="AL20">
        <v>19</v>
      </c>
      <c r="AM20" t="s">
        <v>77</v>
      </c>
      <c r="AN20" t="s">
        <v>89</v>
      </c>
      <c r="AO20" t="s">
        <v>248</v>
      </c>
      <c r="AP20" t="s">
        <v>240</v>
      </c>
      <c r="AQ20">
        <v>2141198101</v>
      </c>
      <c r="BU20">
        <v>159</v>
      </c>
    </row>
    <row r="21" spans="1:73" x14ac:dyDescent="0.3">
      <c r="A21">
        <v>34625</v>
      </c>
      <c r="B21" t="s">
        <v>249</v>
      </c>
      <c r="C21" s="2">
        <v>45282.448483796303</v>
      </c>
      <c r="D21" t="s">
        <v>74</v>
      </c>
      <c r="E21" t="s">
        <v>183</v>
      </c>
      <c r="F21" t="s">
        <v>250</v>
      </c>
      <c r="G21" t="s">
        <v>77</v>
      </c>
      <c r="H21" t="s">
        <v>101</v>
      </c>
      <c r="I21" t="s">
        <v>251</v>
      </c>
      <c r="J21" t="s">
        <v>252</v>
      </c>
      <c r="K21">
        <v>3</v>
      </c>
      <c r="L21">
        <v>12013</v>
      </c>
      <c r="M21">
        <v>1600000</v>
      </c>
      <c r="N21">
        <v>133.1</v>
      </c>
      <c r="O21" t="s">
        <v>253</v>
      </c>
      <c r="P21" t="s">
        <v>254</v>
      </c>
      <c r="Q21">
        <v>1</v>
      </c>
      <c r="R21" t="s">
        <v>82</v>
      </c>
      <c r="S21" t="s">
        <v>255</v>
      </c>
      <c r="T21">
        <v>950</v>
      </c>
      <c r="U21" t="s">
        <v>256</v>
      </c>
      <c r="W21" t="s">
        <v>250</v>
      </c>
      <c r="X21" t="s">
        <v>257</v>
      </c>
      <c r="Y21" t="s">
        <v>255</v>
      </c>
      <c r="Z21" t="s">
        <v>86</v>
      </c>
      <c r="AA21">
        <v>-743385.67</v>
      </c>
      <c r="AB21">
        <v>-1054999.3500000001</v>
      </c>
      <c r="AC21">
        <v>14.436081406261479</v>
      </c>
      <c r="AD21">
        <v>49.979991034159731</v>
      </c>
      <c r="AE21" t="s">
        <v>258</v>
      </c>
      <c r="AF21">
        <v>652407</v>
      </c>
      <c r="AG21" t="s">
        <v>254</v>
      </c>
      <c r="AH21">
        <v>554782</v>
      </c>
      <c r="AI21" t="s">
        <v>88</v>
      </c>
      <c r="AK21" t="s">
        <v>77</v>
      </c>
      <c r="AL21">
        <v>19</v>
      </c>
      <c r="AM21" t="s">
        <v>77</v>
      </c>
      <c r="AN21" t="s">
        <v>89</v>
      </c>
      <c r="AO21" t="s">
        <v>259</v>
      </c>
      <c r="AP21" t="s">
        <v>250</v>
      </c>
      <c r="AQ21">
        <v>3616976101</v>
      </c>
      <c r="BU21">
        <v>133.1</v>
      </c>
    </row>
    <row r="22" spans="1:73" x14ac:dyDescent="0.3">
      <c r="A22">
        <v>34623</v>
      </c>
      <c r="B22" t="s">
        <v>249</v>
      </c>
      <c r="C22" s="2">
        <v>45282.448483796303</v>
      </c>
      <c r="D22" t="s">
        <v>74</v>
      </c>
      <c r="E22" t="s">
        <v>183</v>
      </c>
      <c r="F22" t="s">
        <v>260</v>
      </c>
      <c r="G22" t="s">
        <v>77</v>
      </c>
      <c r="H22" t="s">
        <v>101</v>
      </c>
      <c r="I22" t="s">
        <v>261</v>
      </c>
      <c r="J22" t="s">
        <v>262</v>
      </c>
      <c r="K22">
        <v>3</v>
      </c>
      <c r="L22">
        <v>12013</v>
      </c>
      <c r="M22">
        <v>1600000</v>
      </c>
      <c r="N22">
        <v>133.1</v>
      </c>
      <c r="O22" t="s">
        <v>194</v>
      </c>
      <c r="P22" t="s">
        <v>101</v>
      </c>
      <c r="Q22">
        <v>1</v>
      </c>
      <c r="R22" t="s">
        <v>82</v>
      </c>
      <c r="S22" t="s">
        <v>263</v>
      </c>
      <c r="T22">
        <v>6606</v>
      </c>
      <c r="U22" t="s">
        <v>105</v>
      </c>
      <c r="W22" t="s">
        <v>260</v>
      </c>
      <c r="X22" t="s">
        <v>264</v>
      </c>
      <c r="Y22" t="s">
        <v>263</v>
      </c>
      <c r="Z22" t="s">
        <v>86</v>
      </c>
      <c r="AA22">
        <v>-730299.76</v>
      </c>
      <c r="AB22">
        <v>-1042822.63</v>
      </c>
      <c r="AC22">
        <v>14.59413899551889</v>
      </c>
      <c r="AD22">
        <v>50.10436500617427</v>
      </c>
      <c r="AE22" t="s">
        <v>265</v>
      </c>
      <c r="AF22">
        <v>643777</v>
      </c>
      <c r="AG22" t="s">
        <v>101</v>
      </c>
      <c r="AH22">
        <v>554782</v>
      </c>
      <c r="AI22" t="s">
        <v>88</v>
      </c>
      <c r="AK22" t="s">
        <v>77</v>
      </c>
      <c r="AL22">
        <v>19</v>
      </c>
      <c r="AM22" t="s">
        <v>77</v>
      </c>
      <c r="AN22" t="s">
        <v>89</v>
      </c>
      <c r="AO22" t="s">
        <v>108</v>
      </c>
      <c r="AP22" t="s">
        <v>260</v>
      </c>
      <c r="AQ22">
        <v>2288978101</v>
      </c>
      <c r="BU22">
        <v>133.1</v>
      </c>
    </row>
    <row r="23" spans="1:73" x14ac:dyDescent="0.3">
      <c r="A23">
        <v>34624</v>
      </c>
      <c r="B23" t="s">
        <v>249</v>
      </c>
      <c r="C23" s="2">
        <v>45282.448483796303</v>
      </c>
      <c r="D23" t="s">
        <v>74</v>
      </c>
      <c r="E23" t="s">
        <v>183</v>
      </c>
      <c r="F23" t="s">
        <v>266</v>
      </c>
      <c r="G23" t="s">
        <v>77</v>
      </c>
      <c r="H23" t="s">
        <v>101</v>
      </c>
      <c r="I23" t="s">
        <v>267</v>
      </c>
      <c r="J23" t="s">
        <v>268</v>
      </c>
      <c r="K23">
        <v>3</v>
      </c>
      <c r="L23">
        <v>12013</v>
      </c>
      <c r="M23">
        <v>1600000</v>
      </c>
      <c r="N23">
        <v>133.1</v>
      </c>
      <c r="O23" t="s">
        <v>81</v>
      </c>
      <c r="P23" t="s">
        <v>269</v>
      </c>
      <c r="Q23">
        <v>1</v>
      </c>
      <c r="R23" t="s">
        <v>82</v>
      </c>
      <c r="S23" t="s">
        <v>270</v>
      </c>
      <c r="T23">
        <v>4457</v>
      </c>
      <c r="U23" t="s">
        <v>105</v>
      </c>
      <c r="W23" t="s">
        <v>266</v>
      </c>
      <c r="X23" t="s">
        <v>271</v>
      </c>
      <c r="Y23" t="s">
        <v>270</v>
      </c>
      <c r="Z23" t="s">
        <v>86</v>
      </c>
      <c r="AA23">
        <v>-730730.07</v>
      </c>
      <c r="AB23">
        <v>-1043095.5</v>
      </c>
      <c r="AC23">
        <v>14.58868944632076</v>
      </c>
      <c r="AD23">
        <v>50.101415033298203</v>
      </c>
      <c r="AE23" t="s">
        <v>272</v>
      </c>
      <c r="AF23">
        <v>731676</v>
      </c>
      <c r="AG23" t="s">
        <v>269</v>
      </c>
      <c r="AH23">
        <v>554782</v>
      </c>
      <c r="AI23" t="s">
        <v>88</v>
      </c>
      <c r="AK23" t="s">
        <v>77</v>
      </c>
      <c r="AL23">
        <v>19</v>
      </c>
      <c r="AM23" t="s">
        <v>77</v>
      </c>
      <c r="AN23" t="s">
        <v>89</v>
      </c>
      <c r="AO23" t="s">
        <v>273</v>
      </c>
      <c r="AP23" t="s">
        <v>266</v>
      </c>
      <c r="AQ23">
        <v>2291875101</v>
      </c>
      <c r="BU23">
        <v>133.1</v>
      </c>
    </row>
    <row r="24" spans="1:73" x14ac:dyDescent="0.3">
      <c r="A24">
        <v>30641</v>
      </c>
      <c r="B24" t="s">
        <v>274</v>
      </c>
      <c r="C24" s="2">
        <v>45642.40625</v>
      </c>
      <c r="D24" t="s">
        <v>74</v>
      </c>
      <c r="E24" t="s">
        <v>110</v>
      </c>
      <c r="F24" t="s">
        <v>275</v>
      </c>
      <c r="G24" t="s">
        <v>77</v>
      </c>
      <c r="H24" t="s">
        <v>276</v>
      </c>
      <c r="I24" t="s">
        <v>277</v>
      </c>
      <c r="J24" t="s">
        <v>278</v>
      </c>
      <c r="K24">
        <v>9</v>
      </c>
      <c r="L24">
        <v>24997</v>
      </c>
      <c r="M24">
        <v>2549000</v>
      </c>
      <c r="N24">
        <v>101.9</v>
      </c>
      <c r="O24" t="s">
        <v>139</v>
      </c>
      <c r="P24" t="s">
        <v>279</v>
      </c>
      <c r="Q24">
        <v>1</v>
      </c>
      <c r="R24" t="s">
        <v>82</v>
      </c>
      <c r="S24" t="s">
        <v>280</v>
      </c>
      <c r="T24">
        <v>7</v>
      </c>
      <c r="U24" t="s">
        <v>281</v>
      </c>
      <c r="W24" t="s">
        <v>275</v>
      </c>
      <c r="X24" t="s">
        <v>282</v>
      </c>
      <c r="Y24" t="s">
        <v>280</v>
      </c>
      <c r="Z24" t="s">
        <v>86</v>
      </c>
      <c r="AA24">
        <v>-734968.02</v>
      </c>
      <c r="AB24">
        <v>-1050073.81</v>
      </c>
      <c r="AC24">
        <v>14.5431299909697</v>
      </c>
      <c r="AD24">
        <v>50.034119574414333</v>
      </c>
      <c r="AE24" t="s">
        <v>283</v>
      </c>
      <c r="AF24">
        <v>732613</v>
      </c>
      <c r="AG24" t="s">
        <v>279</v>
      </c>
      <c r="AH24">
        <v>554782</v>
      </c>
      <c r="AI24" t="s">
        <v>88</v>
      </c>
      <c r="AK24" t="s">
        <v>77</v>
      </c>
      <c r="AL24">
        <v>19</v>
      </c>
      <c r="AM24" t="s">
        <v>77</v>
      </c>
      <c r="AN24" t="s">
        <v>89</v>
      </c>
      <c r="AO24" t="s">
        <v>284</v>
      </c>
      <c r="AP24" t="s">
        <v>275</v>
      </c>
      <c r="AQ24">
        <v>2257282101</v>
      </c>
      <c r="BU24">
        <v>101.9</v>
      </c>
    </row>
    <row r="25" spans="1:73" x14ac:dyDescent="0.3">
      <c r="A25">
        <v>30637</v>
      </c>
      <c r="B25" t="s">
        <v>274</v>
      </c>
      <c r="C25" s="2">
        <v>45642.40625</v>
      </c>
      <c r="D25" t="s">
        <v>74</v>
      </c>
      <c r="E25" t="s">
        <v>110</v>
      </c>
      <c r="F25" t="s">
        <v>285</v>
      </c>
      <c r="G25" t="s">
        <v>77</v>
      </c>
      <c r="H25" t="s">
        <v>276</v>
      </c>
      <c r="I25" t="s">
        <v>286</v>
      </c>
      <c r="J25" t="s">
        <v>287</v>
      </c>
      <c r="K25">
        <v>9</v>
      </c>
      <c r="L25">
        <v>24997</v>
      </c>
      <c r="M25">
        <v>2549000</v>
      </c>
      <c r="N25">
        <v>101.9</v>
      </c>
      <c r="O25" t="s">
        <v>139</v>
      </c>
      <c r="P25" t="s">
        <v>279</v>
      </c>
      <c r="Q25">
        <v>1</v>
      </c>
      <c r="R25" t="s">
        <v>82</v>
      </c>
      <c r="S25" t="s">
        <v>288</v>
      </c>
      <c r="T25">
        <v>25</v>
      </c>
      <c r="U25" t="s">
        <v>281</v>
      </c>
      <c r="W25" t="s">
        <v>285</v>
      </c>
      <c r="X25" t="s">
        <v>289</v>
      </c>
      <c r="Y25" t="s">
        <v>288</v>
      </c>
      <c r="Z25" t="s">
        <v>86</v>
      </c>
      <c r="AA25">
        <v>-734939.54</v>
      </c>
      <c r="AB25">
        <v>-1050068.68</v>
      </c>
      <c r="AC25">
        <v>14.543514273502909</v>
      </c>
      <c r="AD25">
        <v>50.034199774600083</v>
      </c>
      <c r="AE25" t="s">
        <v>290</v>
      </c>
      <c r="AF25">
        <v>732613</v>
      </c>
      <c r="AG25" t="s">
        <v>279</v>
      </c>
      <c r="AH25">
        <v>554782</v>
      </c>
      <c r="AI25" t="s">
        <v>88</v>
      </c>
      <c r="AK25" t="s">
        <v>77</v>
      </c>
      <c r="AL25">
        <v>19</v>
      </c>
      <c r="AM25" t="s">
        <v>77</v>
      </c>
      <c r="AN25" t="s">
        <v>89</v>
      </c>
      <c r="AO25" t="s">
        <v>284</v>
      </c>
      <c r="AP25" t="s">
        <v>285</v>
      </c>
      <c r="AQ25">
        <v>2257278101</v>
      </c>
      <c r="BU25">
        <v>101.9</v>
      </c>
    </row>
    <row r="26" spans="1:73" x14ac:dyDescent="0.3">
      <c r="A26">
        <v>30633</v>
      </c>
      <c r="B26" t="s">
        <v>274</v>
      </c>
      <c r="C26" s="2">
        <v>45642.40625</v>
      </c>
      <c r="D26" t="s">
        <v>74</v>
      </c>
      <c r="E26" t="s">
        <v>127</v>
      </c>
      <c r="F26" t="s">
        <v>291</v>
      </c>
      <c r="G26" t="s">
        <v>77</v>
      </c>
      <c r="H26" t="s">
        <v>276</v>
      </c>
      <c r="I26" t="s">
        <v>292</v>
      </c>
      <c r="J26" t="s">
        <v>293</v>
      </c>
      <c r="K26">
        <v>9</v>
      </c>
      <c r="L26">
        <v>24997</v>
      </c>
      <c r="M26">
        <v>2549000</v>
      </c>
      <c r="N26">
        <v>101.9</v>
      </c>
      <c r="O26" t="s">
        <v>294</v>
      </c>
      <c r="P26" t="s">
        <v>276</v>
      </c>
      <c r="Q26">
        <v>1</v>
      </c>
      <c r="R26" t="s">
        <v>82</v>
      </c>
      <c r="S26" t="s">
        <v>295</v>
      </c>
      <c r="T26">
        <v>8843</v>
      </c>
      <c r="U26" t="s">
        <v>296</v>
      </c>
      <c r="W26" t="s">
        <v>291</v>
      </c>
      <c r="X26" t="s">
        <v>297</v>
      </c>
      <c r="Y26" t="s">
        <v>295</v>
      </c>
      <c r="Z26" t="s">
        <v>86</v>
      </c>
      <c r="AA26">
        <v>-734451.92</v>
      </c>
      <c r="AB26">
        <v>-1049546.79</v>
      </c>
      <c r="AC26">
        <v>14.549278198639749</v>
      </c>
      <c r="AD26">
        <v>50.039439900556879</v>
      </c>
      <c r="AE26" t="s">
        <v>298</v>
      </c>
      <c r="AF26">
        <v>732052</v>
      </c>
      <c r="AG26" t="s">
        <v>276</v>
      </c>
      <c r="AH26">
        <v>554782</v>
      </c>
      <c r="AI26" t="s">
        <v>88</v>
      </c>
      <c r="AK26" t="s">
        <v>77</v>
      </c>
      <c r="AL26">
        <v>19</v>
      </c>
      <c r="AM26" t="s">
        <v>77</v>
      </c>
      <c r="AN26" t="s">
        <v>89</v>
      </c>
      <c r="AO26" t="s">
        <v>299</v>
      </c>
      <c r="AP26" t="s">
        <v>291</v>
      </c>
      <c r="AQ26">
        <v>2253388101</v>
      </c>
      <c r="BU26">
        <v>101.9</v>
      </c>
    </row>
    <row r="27" spans="1:73" x14ac:dyDescent="0.3">
      <c r="A27">
        <v>30640</v>
      </c>
      <c r="B27" t="s">
        <v>274</v>
      </c>
      <c r="C27" s="2">
        <v>45642.40625</v>
      </c>
      <c r="D27" t="s">
        <v>74</v>
      </c>
      <c r="E27" t="s">
        <v>110</v>
      </c>
      <c r="F27" t="s">
        <v>300</v>
      </c>
      <c r="G27" t="s">
        <v>77</v>
      </c>
      <c r="H27" t="s">
        <v>276</v>
      </c>
      <c r="I27" t="s">
        <v>301</v>
      </c>
      <c r="J27" t="s">
        <v>302</v>
      </c>
      <c r="K27">
        <v>9</v>
      </c>
      <c r="L27">
        <v>24997</v>
      </c>
      <c r="M27">
        <v>2549000</v>
      </c>
      <c r="N27">
        <v>101.9</v>
      </c>
      <c r="O27" t="s">
        <v>139</v>
      </c>
      <c r="P27" t="s">
        <v>279</v>
      </c>
      <c r="Q27">
        <v>1</v>
      </c>
      <c r="R27" t="s">
        <v>82</v>
      </c>
      <c r="S27" t="s">
        <v>303</v>
      </c>
      <c r="T27">
        <v>43</v>
      </c>
      <c r="U27" t="s">
        <v>281</v>
      </c>
      <c r="W27" t="s">
        <v>300</v>
      </c>
      <c r="X27" t="s">
        <v>304</v>
      </c>
      <c r="Y27" t="s">
        <v>303</v>
      </c>
      <c r="Z27" t="s">
        <v>86</v>
      </c>
      <c r="AA27">
        <v>-734909.33</v>
      </c>
      <c r="AB27">
        <v>-1049992.1200000001</v>
      </c>
      <c r="AC27">
        <v>14.543788172669631</v>
      </c>
      <c r="AD27">
        <v>50.034918459539163</v>
      </c>
      <c r="AE27" t="s">
        <v>305</v>
      </c>
      <c r="AF27">
        <v>732613</v>
      </c>
      <c r="AG27" t="s">
        <v>279</v>
      </c>
      <c r="AH27">
        <v>554782</v>
      </c>
      <c r="AI27" t="s">
        <v>88</v>
      </c>
      <c r="AK27" t="s">
        <v>77</v>
      </c>
      <c r="AL27">
        <v>19</v>
      </c>
      <c r="AM27" t="s">
        <v>77</v>
      </c>
      <c r="AN27" t="s">
        <v>89</v>
      </c>
      <c r="AO27" t="s">
        <v>284</v>
      </c>
      <c r="AP27" t="s">
        <v>300</v>
      </c>
      <c r="AQ27">
        <v>2257281101</v>
      </c>
      <c r="BU27">
        <v>101.9</v>
      </c>
    </row>
    <row r="28" spans="1:73" x14ac:dyDescent="0.3">
      <c r="A28">
        <v>30635</v>
      </c>
      <c r="B28" t="s">
        <v>274</v>
      </c>
      <c r="C28" s="2">
        <v>45642.40625</v>
      </c>
      <c r="D28" t="s">
        <v>74</v>
      </c>
      <c r="E28" t="s">
        <v>110</v>
      </c>
      <c r="F28" t="s">
        <v>306</v>
      </c>
      <c r="G28" t="s">
        <v>77</v>
      </c>
      <c r="H28" t="s">
        <v>276</v>
      </c>
      <c r="I28" t="s">
        <v>307</v>
      </c>
      <c r="J28" t="s">
        <v>308</v>
      </c>
      <c r="K28">
        <v>9</v>
      </c>
      <c r="L28">
        <v>24997</v>
      </c>
      <c r="M28">
        <v>2549000</v>
      </c>
      <c r="N28">
        <v>101.9</v>
      </c>
      <c r="O28" t="s">
        <v>139</v>
      </c>
      <c r="P28" t="s">
        <v>276</v>
      </c>
      <c r="Q28">
        <v>1</v>
      </c>
      <c r="R28" t="s">
        <v>82</v>
      </c>
      <c r="S28" t="s">
        <v>309</v>
      </c>
      <c r="T28">
        <v>5904</v>
      </c>
      <c r="U28" t="s">
        <v>296</v>
      </c>
      <c r="W28" t="s">
        <v>306</v>
      </c>
      <c r="X28" t="s">
        <v>310</v>
      </c>
      <c r="Y28" t="s">
        <v>309</v>
      </c>
      <c r="Z28" t="s">
        <v>86</v>
      </c>
      <c r="AA28">
        <v>-734522.46</v>
      </c>
      <c r="AB28">
        <v>-1049537.6100000001</v>
      </c>
      <c r="AC28">
        <v>14.548285133303921</v>
      </c>
      <c r="AD28">
        <v>50.039436294994943</v>
      </c>
      <c r="AE28" t="s">
        <v>311</v>
      </c>
      <c r="AF28">
        <v>732052</v>
      </c>
      <c r="AG28" t="s">
        <v>276</v>
      </c>
      <c r="AH28">
        <v>554782</v>
      </c>
      <c r="AI28" t="s">
        <v>88</v>
      </c>
      <c r="AK28" t="s">
        <v>77</v>
      </c>
      <c r="AL28">
        <v>19</v>
      </c>
      <c r="AM28" t="s">
        <v>77</v>
      </c>
      <c r="AN28" t="s">
        <v>89</v>
      </c>
      <c r="AO28" t="s">
        <v>299</v>
      </c>
      <c r="AP28" t="s">
        <v>306</v>
      </c>
      <c r="AQ28">
        <v>2253392101</v>
      </c>
      <c r="BU28">
        <v>101.9</v>
      </c>
    </row>
    <row r="29" spans="1:73" x14ac:dyDescent="0.3">
      <c r="A29">
        <v>30634</v>
      </c>
      <c r="B29" t="s">
        <v>274</v>
      </c>
      <c r="C29" s="2">
        <v>45642.40625</v>
      </c>
      <c r="D29" t="s">
        <v>74</v>
      </c>
      <c r="E29" t="s">
        <v>127</v>
      </c>
      <c r="F29" t="s">
        <v>312</v>
      </c>
      <c r="G29" t="s">
        <v>77</v>
      </c>
      <c r="H29" t="s">
        <v>276</v>
      </c>
      <c r="I29" t="s">
        <v>313</v>
      </c>
      <c r="J29" t="s">
        <v>314</v>
      </c>
      <c r="K29">
        <v>9</v>
      </c>
      <c r="L29">
        <v>24997</v>
      </c>
      <c r="M29">
        <v>2549000</v>
      </c>
      <c r="N29">
        <v>101.9</v>
      </c>
      <c r="O29" t="s">
        <v>81</v>
      </c>
      <c r="P29" t="s">
        <v>276</v>
      </c>
      <c r="Q29">
        <v>1</v>
      </c>
      <c r="R29" t="s">
        <v>82</v>
      </c>
      <c r="S29" t="s">
        <v>315</v>
      </c>
      <c r="T29">
        <v>1076</v>
      </c>
      <c r="U29" t="s">
        <v>296</v>
      </c>
      <c r="W29" t="s">
        <v>312</v>
      </c>
      <c r="X29" t="s">
        <v>316</v>
      </c>
      <c r="Y29" t="s">
        <v>315</v>
      </c>
      <c r="Z29" t="s">
        <v>86</v>
      </c>
      <c r="AA29">
        <v>-734282.25</v>
      </c>
      <c r="AB29">
        <v>-1049641.3400000001</v>
      </c>
      <c r="AC29">
        <v>14.551802996414679</v>
      </c>
      <c r="AD29">
        <v>50.038802879336139</v>
      </c>
      <c r="AE29" t="s">
        <v>317</v>
      </c>
      <c r="AF29">
        <v>732052</v>
      </c>
      <c r="AG29" t="s">
        <v>276</v>
      </c>
      <c r="AH29">
        <v>554782</v>
      </c>
      <c r="AI29" t="s">
        <v>88</v>
      </c>
      <c r="AK29" t="s">
        <v>77</v>
      </c>
      <c r="AL29">
        <v>19</v>
      </c>
      <c r="AM29" t="s">
        <v>77</v>
      </c>
      <c r="AN29" t="s">
        <v>89</v>
      </c>
      <c r="AO29" t="s">
        <v>299</v>
      </c>
      <c r="AP29" t="s">
        <v>312</v>
      </c>
      <c r="AQ29">
        <v>2253389101</v>
      </c>
      <c r="BU29">
        <v>101.9</v>
      </c>
    </row>
    <row r="30" spans="1:73" x14ac:dyDescent="0.3">
      <c r="A30">
        <v>30638</v>
      </c>
      <c r="B30" t="s">
        <v>274</v>
      </c>
      <c r="C30" s="2">
        <v>45642.40625</v>
      </c>
      <c r="D30" t="s">
        <v>74</v>
      </c>
      <c r="E30" t="s">
        <v>110</v>
      </c>
      <c r="F30" t="s">
        <v>318</v>
      </c>
      <c r="G30" t="s">
        <v>77</v>
      </c>
      <c r="H30" t="s">
        <v>276</v>
      </c>
      <c r="I30" t="s">
        <v>319</v>
      </c>
      <c r="J30" t="s">
        <v>320</v>
      </c>
      <c r="K30">
        <v>9</v>
      </c>
      <c r="L30">
        <v>24997</v>
      </c>
      <c r="M30">
        <v>2549000</v>
      </c>
      <c r="N30">
        <v>101.9</v>
      </c>
      <c r="O30" t="s">
        <v>139</v>
      </c>
      <c r="P30" t="s">
        <v>279</v>
      </c>
      <c r="Q30">
        <v>1</v>
      </c>
      <c r="R30" t="s">
        <v>82</v>
      </c>
      <c r="S30" t="s">
        <v>321</v>
      </c>
      <c r="T30">
        <v>14</v>
      </c>
      <c r="U30" t="s">
        <v>281</v>
      </c>
      <c r="W30" t="s">
        <v>318</v>
      </c>
      <c r="X30" t="s">
        <v>322</v>
      </c>
      <c r="Y30" t="s">
        <v>321</v>
      </c>
      <c r="Z30" t="s">
        <v>86</v>
      </c>
      <c r="AA30">
        <v>-734906.97</v>
      </c>
      <c r="AB30">
        <v>-1050058.44</v>
      </c>
      <c r="AC30">
        <v>14.543945521045259</v>
      </c>
      <c r="AD30">
        <v>50.034330453603843</v>
      </c>
      <c r="AE30" t="s">
        <v>323</v>
      </c>
      <c r="AF30">
        <v>732613</v>
      </c>
      <c r="AG30" t="s">
        <v>279</v>
      </c>
      <c r="AH30">
        <v>554782</v>
      </c>
      <c r="AI30" t="s">
        <v>88</v>
      </c>
      <c r="AK30" t="s">
        <v>77</v>
      </c>
      <c r="AL30">
        <v>19</v>
      </c>
      <c r="AM30" t="s">
        <v>77</v>
      </c>
      <c r="AN30" t="s">
        <v>89</v>
      </c>
      <c r="AO30" t="s">
        <v>284</v>
      </c>
      <c r="AP30" t="s">
        <v>318</v>
      </c>
      <c r="AQ30">
        <v>2257279101</v>
      </c>
      <c r="BU30">
        <v>101.9</v>
      </c>
    </row>
    <row r="31" spans="1:73" x14ac:dyDescent="0.3">
      <c r="A31">
        <v>30639</v>
      </c>
      <c r="B31" t="s">
        <v>274</v>
      </c>
      <c r="C31" s="2">
        <v>45642.40625</v>
      </c>
      <c r="D31" t="s">
        <v>74</v>
      </c>
      <c r="E31" t="s">
        <v>110</v>
      </c>
      <c r="F31" t="s">
        <v>324</v>
      </c>
      <c r="G31" t="s">
        <v>77</v>
      </c>
      <c r="H31" t="s">
        <v>276</v>
      </c>
      <c r="I31" t="s">
        <v>325</v>
      </c>
      <c r="J31" t="s">
        <v>326</v>
      </c>
      <c r="K31">
        <v>9</v>
      </c>
      <c r="L31">
        <v>24997</v>
      </c>
      <c r="M31">
        <v>2549000</v>
      </c>
      <c r="N31">
        <v>101.9</v>
      </c>
      <c r="O31" t="s">
        <v>139</v>
      </c>
      <c r="P31" t="s">
        <v>279</v>
      </c>
      <c r="Q31">
        <v>1</v>
      </c>
      <c r="R31" t="s">
        <v>82</v>
      </c>
      <c r="S31" t="s">
        <v>327</v>
      </c>
      <c r="T31">
        <v>41</v>
      </c>
      <c r="U31" t="s">
        <v>281</v>
      </c>
      <c r="W31" t="s">
        <v>324</v>
      </c>
      <c r="X31" t="s">
        <v>328</v>
      </c>
      <c r="Y31" t="s">
        <v>327</v>
      </c>
      <c r="Z31" t="s">
        <v>86</v>
      </c>
      <c r="AA31">
        <v>-734894.04</v>
      </c>
      <c r="AB31">
        <v>-1050028.23</v>
      </c>
      <c r="AC31">
        <v>14.544067562863599</v>
      </c>
      <c r="AD31">
        <v>50.034615263424193</v>
      </c>
      <c r="AE31" t="s">
        <v>329</v>
      </c>
      <c r="AF31">
        <v>732613</v>
      </c>
      <c r="AG31" t="s">
        <v>279</v>
      </c>
      <c r="AH31">
        <v>554782</v>
      </c>
      <c r="AI31" t="s">
        <v>88</v>
      </c>
      <c r="AK31" t="s">
        <v>77</v>
      </c>
      <c r="AL31">
        <v>19</v>
      </c>
      <c r="AM31" t="s">
        <v>77</v>
      </c>
      <c r="AN31" t="s">
        <v>89</v>
      </c>
      <c r="AO31" t="s">
        <v>284</v>
      </c>
      <c r="AP31" t="s">
        <v>324</v>
      </c>
      <c r="AQ31">
        <v>2257280101</v>
      </c>
      <c r="BU31">
        <v>101.9</v>
      </c>
    </row>
    <row r="32" spans="1:73" x14ac:dyDescent="0.3">
      <c r="A32">
        <v>30636</v>
      </c>
      <c r="B32" t="s">
        <v>274</v>
      </c>
      <c r="C32" s="2">
        <v>45642.40625</v>
      </c>
      <c r="D32" t="s">
        <v>74</v>
      </c>
      <c r="E32" t="s">
        <v>183</v>
      </c>
      <c r="F32" t="s">
        <v>330</v>
      </c>
      <c r="G32" t="s">
        <v>77</v>
      </c>
      <c r="H32" t="s">
        <v>276</v>
      </c>
      <c r="I32" t="s">
        <v>331</v>
      </c>
      <c r="J32" t="s">
        <v>332</v>
      </c>
      <c r="K32">
        <v>9</v>
      </c>
      <c r="L32">
        <v>24997</v>
      </c>
      <c r="M32">
        <v>2549000</v>
      </c>
      <c r="N32">
        <v>101.9</v>
      </c>
      <c r="O32" t="s">
        <v>81</v>
      </c>
      <c r="P32" t="s">
        <v>333</v>
      </c>
      <c r="Q32">
        <v>1</v>
      </c>
      <c r="R32" t="s">
        <v>82</v>
      </c>
      <c r="S32" t="s">
        <v>334</v>
      </c>
      <c r="T32">
        <v>9044</v>
      </c>
      <c r="U32" t="s">
        <v>296</v>
      </c>
      <c r="W32" t="s">
        <v>330</v>
      </c>
      <c r="X32" t="s">
        <v>335</v>
      </c>
      <c r="Y32" t="s">
        <v>334</v>
      </c>
      <c r="Z32" t="s">
        <v>86</v>
      </c>
      <c r="AA32">
        <v>-734947.35</v>
      </c>
      <c r="AB32">
        <v>-1050024.53</v>
      </c>
      <c r="AC32">
        <v>14.54332322589355</v>
      </c>
      <c r="AD32">
        <v>50.034583660013837</v>
      </c>
      <c r="AE32" t="s">
        <v>336</v>
      </c>
      <c r="AF32">
        <v>728233</v>
      </c>
      <c r="AG32" t="s">
        <v>333</v>
      </c>
      <c r="AH32">
        <v>554782</v>
      </c>
      <c r="AI32" t="s">
        <v>88</v>
      </c>
      <c r="AK32" t="s">
        <v>77</v>
      </c>
      <c r="AL32">
        <v>19</v>
      </c>
      <c r="AM32" t="s">
        <v>77</v>
      </c>
      <c r="AN32" t="s">
        <v>89</v>
      </c>
      <c r="AO32" t="s">
        <v>337</v>
      </c>
      <c r="AP32" t="s">
        <v>330</v>
      </c>
      <c r="AQ32">
        <v>2247932101</v>
      </c>
      <c r="BU32">
        <v>101.9</v>
      </c>
    </row>
    <row r="33" spans="1:73" x14ac:dyDescent="0.3">
      <c r="A33">
        <v>99043</v>
      </c>
      <c r="B33" t="s">
        <v>338</v>
      </c>
      <c r="C33" s="2">
        <v>44729.44494212963</v>
      </c>
      <c r="D33" t="s">
        <v>74</v>
      </c>
      <c r="E33" t="s">
        <v>110</v>
      </c>
      <c r="F33" t="s">
        <v>339</v>
      </c>
      <c r="G33" t="s">
        <v>77</v>
      </c>
      <c r="H33" t="s">
        <v>340</v>
      </c>
      <c r="I33" t="s">
        <v>341</v>
      </c>
      <c r="J33" t="s">
        <v>342</v>
      </c>
      <c r="K33">
        <v>4</v>
      </c>
      <c r="L33">
        <v>31371</v>
      </c>
      <c r="M33">
        <v>3000000</v>
      </c>
      <c r="N33">
        <v>192</v>
      </c>
      <c r="O33" t="s">
        <v>81</v>
      </c>
      <c r="P33" t="s">
        <v>340</v>
      </c>
      <c r="Q33">
        <v>1</v>
      </c>
      <c r="R33" t="s">
        <v>82</v>
      </c>
      <c r="S33" t="s">
        <v>343</v>
      </c>
      <c r="T33">
        <v>18456</v>
      </c>
      <c r="U33" t="s">
        <v>296</v>
      </c>
      <c r="W33" t="s">
        <v>339</v>
      </c>
      <c r="X33" t="s">
        <v>344</v>
      </c>
      <c r="Y33" t="s">
        <v>343</v>
      </c>
      <c r="Z33" t="s">
        <v>86</v>
      </c>
      <c r="AA33">
        <v>-735060.67</v>
      </c>
      <c r="AB33">
        <v>-1043759.33</v>
      </c>
      <c r="AC33">
        <v>14.529959014361051</v>
      </c>
      <c r="AD33">
        <v>50.090263755292469</v>
      </c>
      <c r="AE33" t="s">
        <v>345</v>
      </c>
      <c r="AF33">
        <v>731234</v>
      </c>
      <c r="AG33" t="s">
        <v>340</v>
      </c>
      <c r="AH33">
        <v>554782</v>
      </c>
      <c r="AI33" t="s">
        <v>88</v>
      </c>
      <c r="AK33" t="s">
        <v>77</v>
      </c>
      <c r="AL33">
        <v>19</v>
      </c>
      <c r="AM33" t="s">
        <v>77</v>
      </c>
      <c r="AN33" t="s">
        <v>89</v>
      </c>
      <c r="AO33" t="s">
        <v>346</v>
      </c>
      <c r="AP33" t="s">
        <v>339</v>
      </c>
      <c r="AQ33">
        <v>2233546101</v>
      </c>
      <c r="BU33">
        <v>95.6</v>
      </c>
    </row>
    <row r="34" spans="1:73" x14ac:dyDescent="0.3">
      <c r="A34">
        <v>99042</v>
      </c>
      <c r="B34" t="s">
        <v>338</v>
      </c>
      <c r="C34" s="2">
        <v>44729.44494212963</v>
      </c>
      <c r="D34" t="s">
        <v>74</v>
      </c>
      <c r="E34" t="s">
        <v>190</v>
      </c>
      <c r="F34" t="s">
        <v>347</v>
      </c>
      <c r="G34" t="s">
        <v>77</v>
      </c>
      <c r="H34" t="s">
        <v>340</v>
      </c>
      <c r="I34" t="s">
        <v>348</v>
      </c>
      <c r="J34" t="s">
        <v>349</v>
      </c>
      <c r="K34">
        <v>4</v>
      </c>
      <c r="L34">
        <v>31371</v>
      </c>
      <c r="M34">
        <v>3000000</v>
      </c>
      <c r="N34">
        <v>192</v>
      </c>
      <c r="O34" t="s">
        <v>350</v>
      </c>
      <c r="P34" t="s">
        <v>340</v>
      </c>
      <c r="Q34">
        <v>1</v>
      </c>
      <c r="R34" t="s">
        <v>82</v>
      </c>
      <c r="S34" t="s">
        <v>351</v>
      </c>
      <c r="T34">
        <v>745</v>
      </c>
      <c r="U34" t="s">
        <v>296</v>
      </c>
      <c r="W34" t="s">
        <v>347</v>
      </c>
      <c r="X34" t="s">
        <v>352</v>
      </c>
      <c r="Y34" t="s">
        <v>351</v>
      </c>
      <c r="Z34" t="s">
        <v>86</v>
      </c>
      <c r="AA34">
        <v>-735120.99</v>
      </c>
      <c r="AB34">
        <v>-1043889.73</v>
      </c>
      <c r="AC34">
        <v>14.52936955902843</v>
      </c>
      <c r="AD34">
        <v>50.089028869863697</v>
      </c>
      <c r="AE34" t="s">
        <v>353</v>
      </c>
      <c r="AF34">
        <v>731234</v>
      </c>
      <c r="AG34" t="s">
        <v>340</v>
      </c>
      <c r="AH34">
        <v>554782</v>
      </c>
      <c r="AI34" t="s">
        <v>88</v>
      </c>
      <c r="AK34" t="s">
        <v>77</v>
      </c>
      <c r="AL34">
        <v>19</v>
      </c>
      <c r="AM34" t="s">
        <v>77</v>
      </c>
      <c r="AN34" t="s">
        <v>89</v>
      </c>
      <c r="AO34" t="s">
        <v>346</v>
      </c>
      <c r="AP34" t="s">
        <v>347</v>
      </c>
      <c r="AQ34">
        <v>2233783101</v>
      </c>
      <c r="BU34">
        <v>95.6</v>
      </c>
    </row>
    <row r="35" spans="1:73" x14ac:dyDescent="0.3">
      <c r="A35">
        <v>99044</v>
      </c>
      <c r="B35" t="s">
        <v>338</v>
      </c>
      <c r="C35" s="2">
        <v>44729.44494212963</v>
      </c>
      <c r="D35" t="s">
        <v>74</v>
      </c>
      <c r="E35" t="s">
        <v>190</v>
      </c>
      <c r="F35" t="s">
        <v>354</v>
      </c>
      <c r="G35" t="s">
        <v>77</v>
      </c>
      <c r="H35" t="s">
        <v>340</v>
      </c>
      <c r="I35" t="s">
        <v>355</v>
      </c>
      <c r="J35" t="s">
        <v>356</v>
      </c>
      <c r="K35">
        <v>4</v>
      </c>
      <c r="L35">
        <v>31371</v>
      </c>
      <c r="M35">
        <v>3000000</v>
      </c>
      <c r="N35">
        <v>192</v>
      </c>
      <c r="O35" t="s">
        <v>81</v>
      </c>
      <c r="P35" t="s">
        <v>340</v>
      </c>
      <c r="Q35">
        <v>1</v>
      </c>
      <c r="R35" t="s">
        <v>82</v>
      </c>
      <c r="S35" t="s">
        <v>357</v>
      </c>
      <c r="T35">
        <v>1146</v>
      </c>
      <c r="U35" t="s">
        <v>296</v>
      </c>
      <c r="W35" t="s">
        <v>354</v>
      </c>
      <c r="X35" t="s">
        <v>358</v>
      </c>
      <c r="Y35" t="s">
        <v>357</v>
      </c>
      <c r="Z35" t="s">
        <v>86</v>
      </c>
      <c r="AA35">
        <v>-735150.62</v>
      </c>
      <c r="AB35">
        <v>-1043794.77</v>
      </c>
      <c r="AC35">
        <v>14.52878024411498</v>
      </c>
      <c r="AD35">
        <v>50.089838925797757</v>
      </c>
      <c r="AE35" t="s">
        <v>359</v>
      </c>
      <c r="AF35">
        <v>731234</v>
      </c>
      <c r="AG35" t="s">
        <v>340</v>
      </c>
      <c r="AH35">
        <v>554782</v>
      </c>
      <c r="AI35" t="s">
        <v>88</v>
      </c>
      <c r="AK35" t="s">
        <v>77</v>
      </c>
      <c r="AL35">
        <v>19</v>
      </c>
      <c r="AM35" t="s">
        <v>77</v>
      </c>
      <c r="AN35" t="s">
        <v>89</v>
      </c>
      <c r="AO35" t="s">
        <v>346</v>
      </c>
      <c r="AP35" t="s">
        <v>354</v>
      </c>
      <c r="AQ35">
        <v>2233782101</v>
      </c>
      <c r="BU35">
        <v>95.6</v>
      </c>
    </row>
    <row r="36" spans="1:73" x14ac:dyDescent="0.3">
      <c r="A36">
        <v>99041</v>
      </c>
      <c r="B36" t="s">
        <v>338</v>
      </c>
      <c r="C36" s="2">
        <v>44729.44494212963</v>
      </c>
      <c r="D36" t="s">
        <v>74</v>
      </c>
      <c r="E36" t="s">
        <v>183</v>
      </c>
      <c r="F36" t="s">
        <v>360</v>
      </c>
      <c r="G36" t="s">
        <v>77</v>
      </c>
      <c r="H36" t="s">
        <v>340</v>
      </c>
      <c r="I36" t="s">
        <v>361</v>
      </c>
      <c r="J36" t="s">
        <v>362</v>
      </c>
      <c r="K36">
        <v>4</v>
      </c>
      <c r="L36">
        <v>31371</v>
      </c>
      <c r="M36">
        <v>3000000</v>
      </c>
      <c r="N36">
        <v>192</v>
      </c>
      <c r="O36" t="s">
        <v>350</v>
      </c>
      <c r="P36" t="s">
        <v>340</v>
      </c>
      <c r="Q36">
        <v>1</v>
      </c>
      <c r="R36" t="s">
        <v>82</v>
      </c>
      <c r="S36" t="s">
        <v>363</v>
      </c>
      <c r="T36">
        <v>11024</v>
      </c>
      <c r="U36" t="s">
        <v>296</v>
      </c>
      <c r="W36" t="s">
        <v>360</v>
      </c>
      <c r="X36" t="s">
        <v>364</v>
      </c>
      <c r="Y36" t="s">
        <v>363</v>
      </c>
      <c r="Z36" t="s">
        <v>86</v>
      </c>
      <c r="AA36">
        <v>-735029.6</v>
      </c>
      <c r="AB36">
        <v>-1043873.16</v>
      </c>
      <c r="AC36">
        <v>14.53060382337989</v>
      </c>
      <c r="AD36">
        <v>50.089287327450009</v>
      </c>
      <c r="AE36" t="s">
        <v>365</v>
      </c>
      <c r="AF36">
        <v>731234</v>
      </c>
      <c r="AG36" t="s">
        <v>340</v>
      </c>
      <c r="AH36">
        <v>554782</v>
      </c>
      <c r="AI36" t="s">
        <v>88</v>
      </c>
      <c r="AK36" t="s">
        <v>77</v>
      </c>
      <c r="AL36">
        <v>19</v>
      </c>
      <c r="AM36" t="s">
        <v>77</v>
      </c>
      <c r="AN36" t="s">
        <v>89</v>
      </c>
      <c r="AO36" t="s">
        <v>346</v>
      </c>
      <c r="AP36" t="s">
        <v>360</v>
      </c>
      <c r="AQ36">
        <v>2233551101</v>
      </c>
      <c r="BU36">
        <v>95.6</v>
      </c>
    </row>
    <row r="37" spans="1:73" x14ac:dyDescent="0.3">
      <c r="A37">
        <v>31222</v>
      </c>
      <c r="B37" t="s">
        <v>366</v>
      </c>
      <c r="C37" s="2">
        <v>44699.62604166667</v>
      </c>
      <c r="D37" t="s">
        <v>74</v>
      </c>
      <c r="E37" t="s">
        <v>183</v>
      </c>
      <c r="F37" t="s">
        <v>367</v>
      </c>
      <c r="G37" t="s">
        <v>77</v>
      </c>
      <c r="H37" t="s">
        <v>276</v>
      </c>
      <c r="I37" t="s">
        <v>368</v>
      </c>
      <c r="J37" t="s">
        <v>369</v>
      </c>
      <c r="K37">
        <v>1</v>
      </c>
      <c r="L37">
        <v>6399</v>
      </c>
      <c r="M37">
        <v>469166</v>
      </c>
      <c r="N37">
        <v>608</v>
      </c>
      <c r="O37" t="s">
        <v>81</v>
      </c>
      <c r="P37" t="s">
        <v>276</v>
      </c>
      <c r="Q37">
        <v>1</v>
      </c>
      <c r="R37" t="s">
        <v>82</v>
      </c>
      <c r="S37" t="s">
        <v>370</v>
      </c>
      <c r="T37">
        <v>6399</v>
      </c>
      <c r="U37" t="s">
        <v>371</v>
      </c>
      <c r="W37" t="s">
        <v>367</v>
      </c>
      <c r="X37" t="s">
        <v>372</v>
      </c>
      <c r="Y37" t="s">
        <v>370</v>
      </c>
      <c r="Z37" t="s">
        <v>86</v>
      </c>
      <c r="AA37">
        <v>-736007.03</v>
      </c>
      <c r="AB37">
        <v>-1046457.21</v>
      </c>
      <c r="AC37">
        <v>14.521944156339311</v>
      </c>
      <c r="AD37">
        <v>50.065080364801659</v>
      </c>
      <c r="AE37" t="s">
        <v>373</v>
      </c>
      <c r="AF37">
        <v>732052</v>
      </c>
      <c r="AG37" t="s">
        <v>276</v>
      </c>
      <c r="AH37">
        <v>554782</v>
      </c>
      <c r="AI37" t="s">
        <v>88</v>
      </c>
      <c r="AK37" t="s">
        <v>77</v>
      </c>
      <c r="AL37">
        <v>19</v>
      </c>
      <c r="AM37" t="s">
        <v>77</v>
      </c>
      <c r="AN37" t="s">
        <v>89</v>
      </c>
      <c r="AO37" t="s">
        <v>299</v>
      </c>
      <c r="AP37" t="s">
        <v>367</v>
      </c>
      <c r="AQ37">
        <v>2913305101</v>
      </c>
      <c r="BU37">
        <v>73.3</v>
      </c>
    </row>
    <row r="38" spans="1:73" x14ac:dyDescent="0.3">
      <c r="A38">
        <v>31245</v>
      </c>
      <c r="B38" t="s">
        <v>374</v>
      </c>
      <c r="C38" s="2">
        <v>44699.62604166667</v>
      </c>
      <c r="D38" t="s">
        <v>74</v>
      </c>
      <c r="E38" t="s">
        <v>183</v>
      </c>
      <c r="F38" t="s">
        <v>367</v>
      </c>
      <c r="G38" t="s">
        <v>77</v>
      </c>
      <c r="H38" t="s">
        <v>276</v>
      </c>
      <c r="I38" t="s">
        <v>368</v>
      </c>
      <c r="J38" t="s">
        <v>369</v>
      </c>
      <c r="K38">
        <v>1</v>
      </c>
      <c r="L38">
        <v>6399</v>
      </c>
      <c r="M38">
        <v>469166</v>
      </c>
      <c r="N38">
        <v>608</v>
      </c>
      <c r="O38" t="s">
        <v>81</v>
      </c>
      <c r="P38" t="s">
        <v>276</v>
      </c>
      <c r="Q38">
        <v>1</v>
      </c>
      <c r="R38" t="s">
        <v>82</v>
      </c>
      <c r="S38" t="s">
        <v>370</v>
      </c>
      <c r="T38">
        <v>6399</v>
      </c>
      <c r="U38" t="s">
        <v>371</v>
      </c>
      <c r="W38" t="s">
        <v>367</v>
      </c>
      <c r="X38" t="s">
        <v>372</v>
      </c>
      <c r="Y38" t="s">
        <v>370</v>
      </c>
      <c r="Z38" t="s">
        <v>86</v>
      </c>
      <c r="AA38">
        <v>-736007.03</v>
      </c>
      <c r="AB38">
        <v>-1046457.21</v>
      </c>
      <c r="AC38">
        <v>14.521944156339311</v>
      </c>
      <c r="AD38">
        <v>50.065080364801659</v>
      </c>
      <c r="AE38" t="s">
        <v>373</v>
      </c>
      <c r="AF38">
        <v>732052</v>
      </c>
      <c r="AG38" t="s">
        <v>276</v>
      </c>
      <c r="AH38">
        <v>554782</v>
      </c>
      <c r="AI38" t="s">
        <v>88</v>
      </c>
      <c r="AK38" t="s">
        <v>77</v>
      </c>
      <c r="AL38">
        <v>19</v>
      </c>
      <c r="AM38" t="s">
        <v>77</v>
      </c>
      <c r="AN38" t="s">
        <v>89</v>
      </c>
      <c r="AO38" t="s">
        <v>299</v>
      </c>
      <c r="AP38" t="s">
        <v>367</v>
      </c>
      <c r="AQ38">
        <v>2913305101</v>
      </c>
      <c r="BU38">
        <v>73.3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2713-B85E-40F0-987E-340509C2D807}">
  <dimension ref="A1:BU111"/>
  <sheetViews>
    <sheetView tabSelected="1" zoomScale="130" zoomScaleNormal="130" workbookViewId="0">
      <pane ySplit="1" topLeftCell="A31" activePane="bottomLeft" state="frozen"/>
      <selection pane="bottomLeft" activeCell="H108" sqref="H50:H108"/>
    </sheetView>
  </sheetViews>
  <sheetFormatPr defaultRowHeight="15.05" x14ac:dyDescent="0.3"/>
  <cols>
    <col min="1" max="1" width="20" bestFit="1" customWidth="1"/>
    <col min="2" max="2" width="22.6640625" bestFit="1" customWidth="1"/>
    <col min="3" max="3" width="14.88671875" bestFit="1" customWidth="1"/>
    <col min="4" max="4" width="6.77734375" bestFit="1" customWidth="1"/>
    <col min="5" max="5" width="19.5546875" bestFit="1" customWidth="1"/>
    <col min="6" max="6" width="11.109375" bestFit="1" customWidth="1"/>
    <col min="7" max="7" width="20" customWidth="1"/>
    <col min="8" max="8" width="17" customWidth="1"/>
    <col min="9" max="9" width="24" customWidth="1"/>
    <col min="10" max="10" width="27" customWidth="1"/>
    <col min="11" max="11" width="9" customWidth="1"/>
    <col min="12" max="12" width="17" customWidth="1"/>
    <col min="13" max="13" width="13" customWidth="1"/>
    <col min="14" max="15" width="8" customWidth="1"/>
    <col min="16" max="16" width="17" customWidth="1"/>
    <col min="17" max="17" width="16" customWidth="1"/>
    <col min="18" max="18" width="19" customWidth="1"/>
    <col min="19" max="19" width="16" customWidth="1"/>
    <col min="20" max="20" width="14" customWidth="1"/>
    <col min="21" max="21" width="22" customWidth="1"/>
    <col min="22" max="22" width="20" customWidth="1"/>
    <col min="23" max="23" width="10" customWidth="1"/>
    <col min="24" max="24" width="28" customWidth="1"/>
    <col min="25" max="25" width="17" customWidth="1"/>
    <col min="26" max="26" width="21" customWidth="1"/>
    <col min="27" max="27" width="12" customWidth="1"/>
    <col min="28" max="28" width="13" customWidth="1"/>
    <col min="29" max="30" width="20" customWidth="1"/>
    <col min="31" max="31" width="60" customWidth="1"/>
    <col min="32" max="32" width="8" customWidth="1"/>
    <col min="33" max="33" width="17" customWidth="1"/>
    <col min="34" max="34" width="10" customWidth="1"/>
    <col min="35" max="35" width="12" customWidth="1"/>
    <col min="36" max="36" width="11" customWidth="1"/>
    <col min="37" max="37" width="20" customWidth="1"/>
    <col min="38" max="38" width="10" customWidth="1"/>
    <col min="39" max="40" width="20" customWidth="1"/>
    <col min="41" max="41" width="17" customWidth="1"/>
    <col min="42" max="42" width="13" customWidth="1"/>
    <col min="43" max="43" width="18" customWidth="1"/>
    <col min="44" max="44" width="8" customWidth="1"/>
    <col min="45" max="45" width="20" customWidth="1"/>
    <col min="46" max="46" width="23" customWidth="1"/>
    <col min="47" max="47" width="14" customWidth="1"/>
    <col min="48" max="48" width="24" customWidth="1"/>
    <col min="49" max="49" width="16" customWidth="1"/>
    <col min="50" max="50" width="19" customWidth="1"/>
    <col min="51" max="51" width="22" customWidth="1"/>
    <col min="52" max="52" width="24" customWidth="1"/>
    <col min="53" max="53" width="22" customWidth="1"/>
    <col min="54" max="54" width="30" customWidth="1"/>
    <col min="55" max="55" width="24" customWidth="1"/>
    <col min="56" max="56" width="27" customWidth="1"/>
    <col min="57" max="57" width="26" customWidth="1"/>
    <col min="58" max="58" width="25" customWidth="1"/>
    <col min="59" max="59" width="16" customWidth="1"/>
    <col min="60" max="60" width="20" customWidth="1"/>
    <col min="61" max="61" width="23" customWidth="1"/>
    <col min="62" max="62" width="24" customWidth="1"/>
    <col min="63" max="63" width="30" customWidth="1"/>
    <col min="64" max="64" width="24" customWidth="1"/>
    <col min="65" max="65" width="27" customWidth="1"/>
    <col min="66" max="66" width="26" customWidth="1"/>
    <col min="67" max="67" width="25" customWidth="1"/>
    <col min="68" max="68" width="13" customWidth="1"/>
    <col min="69" max="69" width="16" customWidth="1"/>
    <col min="70" max="70" width="10" customWidth="1"/>
    <col min="71" max="71" width="11" customWidth="1"/>
    <col min="72" max="72" width="13" customWidth="1"/>
    <col min="73" max="73" width="9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>
        <v>22046</v>
      </c>
      <c r="B2" t="s">
        <v>73</v>
      </c>
      <c r="C2" s="2">
        <v>43087.563738425917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>
        <v>2</v>
      </c>
      <c r="L2">
        <v>20257</v>
      </c>
      <c r="M2">
        <v>21000000</v>
      </c>
      <c r="N2">
        <v>1036.5999999999999</v>
      </c>
      <c r="O2" t="s">
        <v>81</v>
      </c>
      <c r="P2" t="s">
        <v>78</v>
      </c>
      <c r="Q2">
        <v>1</v>
      </c>
      <c r="R2" t="s">
        <v>82</v>
      </c>
      <c r="S2" t="s">
        <v>83</v>
      </c>
      <c r="T2">
        <v>11166</v>
      </c>
      <c r="U2" t="s">
        <v>84</v>
      </c>
      <c r="W2" t="s">
        <v>76</v>
      </c>
      <c r="X2" t="s">
        <v>85</v>
      </c>
      <c r="Y2" t="s">
        <v>83</v>
      </c>
      <c r="Z2" t="s">
        <v>86</v>
      </c>
      <c r="AA2">
        <v>-745869.15</v>
      </c>
      <c r="AB2">
        <v>-1039296.36</v>
      </c>
      <c r="AC2">
        <v>14.371787434583039</v>
      </c>
      <c r="AD2">
        <v>50.116808392185597</v>
      </c>
      <c r="AE2" t="s">
        <v>87</v>
      </c>
      <c r="AF2">
        <v>729272</v>
      </c>
      <c r="AG2" t="s">
        <v>78</v>
      </c>
      <c r="AH2">
        <v>554782</v>
      </c>
      <c r="AI2" t="s">
        <v>88</v>
      </c>
      <c r="AK2" t="s">
        <v>77</v>
      </c>
      <c r="AL2">
        <v>19</v>
      </c>
      <c r="AM2" t="s">
        <v>77</v>
      </c>
      <c r="AN2" t="s">
        <v>89</v>
      </c>
      <c r="AO2" t="s">
        <v>90</v>
      </c>
      <c r="AP2" t="s">
        <v>76</v>
      </c>
      <c r="AQ2">
        <v>2396349101</v>
      </c>
      <c r="BU2">
        <v>1036.5999999999999</v>
      </c>
    </row>
    <row r="3" spans="1:73" x14ac:dyDescent="0.3">
      <c r="A3">
        <v>22045</v>
      </c>
      <c r="B3" t="s">
        <v>73</v>
      </c>
      <c r="C3" s="2">
        <v>43087.563738425917</v>
      </c>
      <c r="D3" t="s">
        <v>74</v>
      </c>
      <c r="E3" t="s">
        <v>75</v>
      </c>
      <c r="F3" t="s">
        <v>91</v>
      </c>
      <c r="G3" t="s">
        <v>77</v>
      </c>
      <c r="H3" t="s">
        <v>78</v>
      </c>
      <c r="I3" t="s">
        <v>92</v>
      </c>
      <c r="J3" t="s">
        <v>93</v>
      </c>
      <c r="K3">
        <v>2</v>
      </c>
      <c r="L3">
        <v>20257</v>
      </c>
      <c r="M3">
        <v>21000000</v>
      </c>
      <c r="N3">
        <v>1036.5999999999999</v>
      </c>
      <c r="O3" t="s">
        <v>94</v>
      </c>
      <c r="P3" t="s">
        <v>78</v>
      </c>
      <c r="Q3">
        <v>1</v>
      </c>
      <c r="R3" t="s">
        <v>82</v>
      </c>
      <c r="S3" t="s">
        <v>95</v>
      </c>
      <c r="T3">
        <v>9091</v>
      </c>
      <c r="U3" t="s">
        <v>84</v>
      </c>
      <c r="W3" t="s">
        <v>91</v>
      </c>
      <c r="X3" t="s">
        <v>96</v>
      </c>
      <c r="Y3" t="s">
        <v>95</v>
      </c>
      <c r="Z3" t="s">
        <v>86</v>
      </c>
      <c r="AA3">
        <v>-745970.18</v>
      </c>
      <c r="AB3">
        <v>-1039220.25</v>
      </c>
      <c r="AC3">
        <v>14.370242248568649</v>
      </c>
      <c r="AD3">
        <v>50.117361816209758</v>
      </c>
      <c r="AE3" t="s">
        <v>97</v>
      </c>
      <c r="AF3">
        <v>729272</v>
      </c>
      <c r="AG3" t="s">
        <v>78</v>
      </c>
      <c r="AH3">
        <v>554782</v>
      </c>
      <c r="AI3" t="s">
        <v>88</v>
      </c>
      <c r="AK3" t="s">
        <v>77</v>
      </c>
      <c r="AL3">
        <v>19</v>
      </c>
      <c r="AM3" t="s">
        <v>77</v>
      </c>
      <c r="AN3" t="s">
        <v>89</v>
      </c>
      <c r="AO3" t="s">
        <v>90</v>
      </c>
      <c r="AP3" t="s">
        <v>91</v>
      </c>
      <c r="AQ3">
        <v>2396347101</v>
      </c>
      <c r="BU3">
        <v>1036.5999999999999</v>
      </c>
    </row>
    <row r="4" spans="1:73" x14ac:dyDescent="0.3">
      <c r="A4">
        <v>34680</v>
      </c>
      <c r="B4" t="s">
        <v>98</v>
      </c>
      <c r="C4" s="2">
        <v>45637.472812499997</v>
      </c>
      <c r="D4" t="s">
        <v>74</v>
      </c>
      <c r="E4" t="s">
        <v>99</v>
      </c>
      <c r="F4" t="s">
        <v>100</v>
      </c>
      <c r="G4" t="s">
        <v>77</v>
      </c>
      <c r="H4" t="s">
        <v>101</v>
      </c>
      <c r="I4" t="s">
        <v>102</v>
      </c>
      <c r="J4" t="s">
        <v>103</v>
      </c>
      <c r="K4">
        <v>1</v>
      </c>
      <c r="L4">
        <v>7740</v>
      </c>
      <c r="M4">
        <v>3850000</v>
      </c>
      <c r="N4">
        <v>497.4</v>
      </c>
      <c r="O4" t="s">
        <v>81</v>
      </c>
      <c r="P4" t="s">
        <v>101</v>
      </c>
      <c r="Q4">
        <v>1</v>
      </c>
      <c r="R4" t="s">
        <v>82</v>
      </c>
      <c r="S4" t="s">
        <v>104</v>
      </c>
      <c r="T4">
        <v>7740</v>
      </c>
      <c r="U4" t="s">
        <v>105</v>
      </c>
      <c r="W4" t="s">
        <v>100</v>
      </c>
      <c r="X4" t="s">
        <v>106</v>
      </c>
      <c r="Y4" t="s">
        <v>104</v>
      </c>
      <c r="Z4" t="s">
        <v>86</v>
      </c>
      <c r="AA4">
        <v>-731275.26</v>
      </c>
      <c r="AB4">
        <v>-1041580.43</v>
      </c>
      <c r="AC4">
        <v>14.578294365480961</v>
      </c>
      <c r="AD4">
        <v>50.114256257747847</v>
      </c>
      <c r="AE4" t="s">
        <v>107</v>
      </c>
      <c r="AF4">
        <v>643777</v>
      </c>
      <c r="AG4" t="s">
        <v>101</v>
      </c>
      <c r="AH4">
        <v>554782</v>
      </c>
      <c r="AI4" t="s">
        <v>88</v>
      </c>
      <c r="AK4" t="s">
        <v>77</v>
      </c>
      <c r="AL4">
        <v>19</v>
      </c>
      <c r="AM4" t="s">
        <v>77</v>
      </c>
      <c r="AN4" t="s">
        <v>89</v>
      </c>
      <c r="AO4" t="s">
        <v>108</v>
      </c>
      <c r="AP4" t="s">
        <v>100</v>
      </c>
      <c r="AQ4">
        <v>2286696101</v>
      </c>
      <c r="BU4">
        <v>497.4</v>
      </c>
    </row>
    <row r="5" spans="1:73" x14ac:dyDescent="0.3">
      <c r="A5">
        <v>28286</v>
      </c>
      <c r="B5" t="s">
        <v>109</v>
      </c>
      <c r="C5" s="2">
        <v>45391.405300925922</v>
      </c>
      <c r="D5" t="s">
        <v>74</v>
      </c>
      <c r="E5" t="s">
        <v>110</v>
      </c>
      <c r="F5" t="s">
        <v>111</v>
      </c>
      <c r="G5" t="s">
        <v>77</v>
      </c>
      <c r="H5" t="s">
        <v>112</v>
      </c>
      <c r="I5" t="s">
        <v>113</v>
      </c>
      <c r="J5" t="s">
        <v>114</v>
      </c>
      <c r="K5">
        <v>3</v>
      </c>
      <c r="L5">
        <v>17082</v>
      </c>
      <c r="M5">
        <v>7089030</v>
      </c>
      <c r="N5">
        <v>415</v>
      </c>
      <c r="O5" t="s">
        <v>81</v>
      </c>
      <c r="P5" t="s">
        <v>112</v>
      </c>
      <c r="Q5">
        <v>1</v>
      </c>
      <c r="R5" t="s">
        <v>82</v>
      </c>
      <c r="S5" t="s">
        <v>115</v>
      </c>
      <c r="T5">
        <v>5336</v>
      </c>
      <c r="U5" t="s">
        <v>116</v>
      </c>
      <c r="W5" t="s">
        <v>111</v>
      </c>
      <c r="X5" t="s">
        <v>117</v>
      </c>
      <c r="Y5" t="s">
        <v>115</v>
      </c>
      <c r="Z5" t="s">
        <v>86</v>
      </c>
      <c r="AA5">
        <v>-736259.86</v>
      </c>
      <c r="AB5">
        <v>-1045597.54</v>
      </c>
      <c r="AC5">
        <v>14.516823198310361</v>
      </c>
      <c r="AD5">
        <v>50.072432073319021</v>
      </c>
      <c r="AE5" t="s">
        <v>118</v>
      </c>
      <c r="AF5">
        <v>731943</v>
      </c>
      <c r="AG5" t="s">
        <v>112</v>
      </c>
      <c r="AH5">
        <v>554782</v>
      </c>
      <c r="AI5" t="s">
        <v>88</v>
      </c>
      <c r="AK5" t="s">
        <v>77</v>
      </c>
      <c r="AL5">
        <v>19</v>
      </c>
      <c r="AM5" t="s">
        <v>77</v>
      </c>
      <c r="AN5" t="s">
        <v>89</v>
      </c>
      <c r="AO5" t="s">
        <v>119</v>
      </c>
      <c r="AP5" t="s">
        <v>111</v>
      </c>
      <c r="AQ5">
        <v>2632913101</v>
      </c>
      <c r="BU5">
        <v>415</v>
      </c>
    </row>
    <row r="6" spans="1:73" x14ac:dyDescent="0.3">
      <c r="A6">
        <v>28287</v>
      </c>
      <c r="B6" t="s">
        <v>109</v>
      </c>
      <c r="C6" s="2">
        <v>45391.405300925922</v>
      </c>
      <c r="D6" t="s">
        <v>74</v>
      </c>
      <c r="E6" t="s">
        <v>110</v>
      </c>
      <c r="F6" t="s">
        <v>120</v>
      </c>
      <c r="G6" t="s">
        <v>77</v>
      </c>
      <c r="H6" t="s">
        <v>112</v>
      </c>
      <c r="I6" t="s">
        <v>121</v>
      </c>
      <c r="J6" t="s">
        <v>122</v>
      </c>
      <c r="K6">
        <v>3</v>
      </c>
      <c r="L6">
        <v>17082</v>
      </c>
      <c r="M6">
        <v>7089030</v>
      </c>
      <c r="N6">
        <v>415</v>
      </c>
      <c r="O6" t="s">
        <v>81</v>
      </c>
      <c r="P6" t="s">
        <v>112</v>
      </c>
      <c r="Q6">
        <v>1</v>
      </c>
      <c r="R6" t="s">
        <v>82</v>
      </c>
      <c r="S6" t="s">
        <v>123</v>
      </c>
      <c r="T6">
        <v>6985</v>
      </c>
      <c r="U6" t="s">
        <v>124</v>
      </c>
      <c r="W6" t="s">
        <v>120</v>
      </c>
      <c r="X6" t="s">
        <v>125</v>
      </c>
      <c r="Y6" t="s">
        <v>123</v>
      </c>
      <c r="Z6" t="s">
        <v>86</v>
      </c>
      <c r="AA6">
        <v>-736109.62</v>
      </c>
      <c r="AB6">
        <v>-1045567.67</v>
      </c>
      <c r="AC6">
        <v>14.518846495857581</v>
      </c>
      <c r="AD6">
        <v>50.072880605894063</v>
      </c>
      <c r="AE6" t="s">
        <v>126</v>
      </c>
      <c r="AF6">
        <v>731943</v>
      </c>
      <c r="AG6" t="s">
        <v>112</v>
      </c>
      <c r="AH6">
        <v>554782</v>
      </c>
      <c r="AI6" t="s">
        <v>88</v>
      </c>
      <c r="AK6" t="s">
        <v>77</v>
      </c>
      <c r="AL6">
        <v>19</v>
      </c>
      <c r="AM6" t="s">
        <v>77</v>
      </c>
      <c r="AN6" t="s">
        <v>89</v>
      </c>
      <c r="AO6" t="s">
        <v>119</v>
      </c>
      <c r="AP6" t="s">
        <v>120</v>
      </c>
      <c r="AQ6">
        <v>2163965101</v>
      </c>
      <c r="BU6">
        <v>415</v>
      </c>
    </row>
    <row r="7" spans="1:73" x14ac:dyDescent="0.3">
      <c r="A7">
        <v>28288</v>
      </c>
      <c r="B7" t="s">
        <v>109</v>
      </c>
      <c r="C7" s="2">
        <v>45391.405300925922</v>
      </c>
      <c r="D7" t="s">
        <v>74</v>
      </c>
      <c r="E7" t="s">
        <v>127</v>
      </c>
      <c r="F7" t="s">
        <v>128</v>
      </c>
      <c r="G7" t="s">
        <v>77</v>
      </c>
      <c r="H7" t="s">
        <v>112</v>
      </c>
      <c r="I7" t="s">
        <v>129</v>
      </c>
      <c r="J7" t="s">
        <v>130</v>
      </c>
      <c r="K7">
        <v>3</v>
      </c>
      <c r="L7">
        <v>17082</v>
      </c>
      <c r="M7">
        <v>7089030</v>
      </c>
      <c r="N7">
        <v>415</v>
      </c>
      <c r="O7" t="s">
        <v>81</v>
      </c>
      <c r="P7" t="s">
        <v>112</v>
      </c>
      <c r="Q7">
        <v>1</v>
      </c>
      <c r="R7" t="s">
        <v>82</v>
      </c>
      <c r="S7" t="s">
        <v>131</v>
      </c>
      <c r="T7">
        <v>4761</v>
      </c>
      <c r="U7" t="s">
        <v>116</v>
      </c>
      <c r="W7" t="s">
        <v>128</v>
      </c>
      <c r="X7" t="s">
        <v>132</v>
      </c>
      <c r="Y7" t="s">
        <v>131</v>
      </c>
      <c r="Z7" t="s">
        <v>86</v>
      </c>
      <c r="AA7">
        <v>-736168.65</v>
      </c>
      <c r="AB7">
        <v>-1045612.38</v>
      </c>
      <c r="AC7">
        <v>14.518113736509729</v>
      </c>
      <c r="AD7">
        <v>50.07241062114425</v>
      </c>
      <c r="AE7" t="s">
        <v>133</v>
      </c>
      <c r="AF7">
        <v>731943</v>
      </c>
      <c r="AG7" t="s">
        <v>112</v>
      </c>
      <c r="AH7">
        <v>554782</v>
      </c>
      <c r="AI7" t="s">
        <v>88</v>
      </c>
      <c r="AK7" t="s">
        <v>77</v>
      </c>
      <c r="AL7">
        <v>19</v>
      </c>
      <c r="AM7" t="s">
        <v>77</v>
      </c>
      <c r="AN7" t="s">
        <v>89</v>
      </c>
      <c r="AO7" t="s">
        <v>119</v>
      </c>
      <c r="AP7" t="s">
        <v>128</v>
      </c>
      <c r="AQ7">
        <v>2632910101</v>
      </c>
      <c r="BU7">
        <v>415</v>
      </c>
    </row>
    <row r="8" spans="1:73" x14ac:dyDescent="0.3">
      <c r="A8">
        <v>28481</v>
      </c>
      <c r="B8" t="s">
        <v>134</v>
      </c>
      <c r="C8" s="2">
        <v>45441.69840277778</v>
      </c>
      <c r="D8" t="s">
        <v>74</v>
      </c>
      <c r="E8" t="s">
        <v>127</v>
      </c>
      <c r="F8" t="s">
        <v>135</v>
      </c>
      <c r="G8" t="s">
        <v>77</v>
      </c>
      <c r="H8" t="s">
        <v>136</v>
      </c>
      <c r="I8" t="s">
        <v>137</v>
      </c>
      <c r="J8" t="s">
        <v>138</v>
      </c>
      <c r="K8">
        <v>4</v>
      </c>
      <c r="L8">
        <v>7940</v>
      </c>
      <c r="M8">
        <v>2900000</v>
      </c>
      <c r="N8">
        <v>365.2</v>
      </c>
      <c r="O8" t="s">
        <v>139</v>
      </c>
      <c r="P8" t="s">
        <v>140</v>
      </c>
      <c r="Q8">
        <v>1</v>
      </c>
      <c r="R8" t="s">
        <v>82</v>
      </c>
      <c r="S8" t="s">
        <v>141</v>
      </c>
      <c r="T8">
        <v>111</v>
      </c>
      <c r="U8" t="s">
        <v>84</v>
      </c>
      <c r="W8" t="s">
        <v>135</v>
      </c>
      <c r="X8" t="s">
        <v>142</v>
      </c>
      <c r="Y8" t="s">
        <v>141</v>
      </c>
      <c r="Z8" t="s">
        <v>86</v>
      </c>
      <c r="AA8">
        <v>-749466.82</v>
      </c>
      <c r="AB8">
        <v>-1041454.46</v>
      </c>
      <c r="AC8">
        <v>14.326111378985299</v>
      </c>
      <c r="AD8">
        <v>50.093147678628434</v>
      </c>
      <c r="AE8" t="s">
        <v>143</v>
      </c>
      <c r="AF8">
        <v>729795</v>
      </c>
      <c r="AG8" t="s">
        <v>140</v>
      </c>
      <c r="AH8">
        <v>554782</v>
      </c>
      <c r="AI8" t="s">
        <v>88</v>
      </c>
      <c r="AK8" t="s">
        <v>77</v>
      </c>
      <c r="AL8">
        <v>19</v>
      </c>
      <c r="AM8" t="s">
        <v>77</v>
      </c>
      <c r="AN8" t="s">
        <v>89</v>
      </c>
      <c r="AO8" t="s">
        <v>144</v>
      </c>
      <c r="AP8" t="s">
        <v>135</v>
      </c>
      <c r="AQ8">
        <v>2392919101</v>
      </c>
      <c r="BU8">
        <v>365.2</v>
      </c>
    </row>
    <row r="9" spans="1:73" x14ac:dyDescent="0.3">
      <c r="A9">
        <v>28478</v>
      </c>
      <c r="B9" t="s">
        <v>134</v>
      </c>
      <c r="C9" s="2">
        <v>45441.69840277778</v>
      </c>
      <c r="D9" t="s">
        <v>74</v>
      </c>
      <c r="E9" t="s">
        <v>75</v>
      </c>
      <c r="F9" t="s">
        <v>145</v>
      </c>
      <c r="G9" t="s">
        <v>77</v>
      </c>
      <c r="H9" t="s">
        <v>136</v>
      </c>
      <c r="I9" t="s">
        <v>146</v>
      </c>
      <c r="J9" t="s">
        <v>147</v>
      </c>
      <c r="K9">
        <v>4</v>
      </c>
      <c r="L9">
        <v>7940</v>
      </c>
      <c r="M9">
        <v>2900000</v>
      </c>
      <c r="N9">
        <v>365.2</v>
      </c>
      <c r="O9" t="s">
        <v>81</v>
      </c>
      <c r="P9" t="s">
        <v>136</v>
      </c>
      <c r="Q9">
        <v>1</v>
      </c>
      <c r="R9" t="s">
        <v>82</v>
      </c>
      <c r="S9" t="s">
        <v>148</v>
      </c>
      <c r="T9">
        <v>174</v>
      </c>
      <c r="U9" t="s">
        <v>84</v>
      </c>
      <c r="W9" t="s">
        <v>145</v>
      </c>
      <c r="X9" t="s">
        <v>149</v>
      </c>
      <c r="Y9" t="s">
        <v>148</v>
      </c>
      <c r="Z9" t="s">
        <v>86</v>
      </c>
      <c r="AA9">
        <v>-749492.85</v>
      </c>
      <c r="AB9">
        <v>-1041389.69</v>
      </c>
      <c r="AC9">
        <v>14.32562648747998</v>
      </c>
      <c r="AD9">
        <v>50.093692296147793</v>
      </c>
      <c r="AE9" t="s">
        <v>150</v>
      </c>
      <c r="AF9">
        <v>729418</v>
      </c>
      <c r="AG9" t="s">
        <v>136</v>
      </c>
      <c r="AH9">
        <v>554782</v>
      </c>
      <c r="AI9" t="s">
        <v>88</v>
      </c>
      <c r="AK9" t="s">
        <v>77</v>
      </c>
      <c r="AL9">
        <v>19</v>
      </c>
      <c r="AM9" t="s">
        <v>77</v>
      </c>
      <c r="AN9" t="s">
        <v>89</v>
      </c>
      <c r="AO9" t="s">
        <v>151</v>
      </c>
      <c r="AP9" t="s">
        <v>145</v>
      </c>
      <c r="AQ9">
        <v>2389955101</v>
      </c>
      <c r="BU9">
        <v>365.2</v>
      </c>
    </row>
    <row r="10" spans="1:73" x14ac:dyDescent="0.3">
      <c r="A10">
        <v>28479</v>
      </c>
      <c r="B10" t="s">
        <v>134</v>
      </c>
      <c r="C10" s="2">
        <v>45441.69840277778</v>
      </c>
      <c r="D10" t="s">
        <v>74</v>
      </c>
      <c r="E10" t="s">
        <v>75</v>
      </c>
      <c r="F10" t="s">
        <v>152</v>
      </c>
      <c r="G10" t="s">
        <v>77</v>
      </c>
      <c r="H10" t="s">
        <v>136</v>
      </c>
      <c r="I10" t="s">
        <v>153</v>
      </c>
      <c r="J10" t="s">
        <v>154</v>
      </c>
      <c r="K10">
        <v>4</v>
      </c>
      <c r="L10">
        <v>7940</v>
      </c>
      <c r="M10">
        <v>2900000</v>
      </c>
      <c r="N10">
        <v>365.2</v>
      </c>
      <c r="O10" t="s">
        <v>81</v>
      </c>
      <c r="P10" t="s">
        <v>136</v>
      </c>
      <c r="Q10">
        <v>1</v>
      </c>
      <c r="R10" t="s">
        <v>82</v>
      </c>
      <c r="S10" t="s">
        <v>155</v>
      </c>
      <c r="T10">
        <v>5967</v>
      </c>
      <c r="U10" t="s">
        <v>84</v>
      </c>
      <c r="W10" t="s">
        <v>152</v>
      </c>
      <c r="X10" t="s">
        <v>156</v>
      </c>
      <c r="Y10" t="s">
        <v>155</v>
      </c>
      <c r="Z10" t="s">
        <v>86</v>
      </c>
      <c r="AA10">
        <v>-749388.78</v>
      </c>
      <c r="AB10">
        <v>-1041400.09</v>
      </c>
      <c r="AC10">
        <v>14.327087169277229</v>
      </c>
      <c r="AD10">
        <v>50.093728413411839</v>
      </c>
      <c r="AE10" t="s">
        <v>157</v>
      </c>
      <c r="AF10">
        <v>729418</v>
      </c>
      <c r="AG10" t="s">
        <v>136</v>
      </c>
      <c r="AH10">
        <v>554782</v>
      </c>
      <c r="AI10" t="s">
        <v>88</v>
      </c>
      <c r="AK10" t="s">
        <v>77</v>
      </c>
      <c r="AL10">
        <v>19</v>
      </c>
      <c r="AM10" t="s">
        <v>77</v>
      </c>
      <c r="AN10" t="s">
        <v>89</v>
      </c>
      <c r="AO10" t="s">
        <v>151</v>
      </c>
      <c r="AP10" t="s">
        <v>152</v>
      </c>
      <c r="AQ10">
        <v>2389953101</v>
      </c>
      <c r="BU10">
        <v>365.2</v>
      </c>
    </row>
    <row r="11" spans="1:73" x14ac:dyDescent="0.3">
      <c r="A11">
        <v>28480</v>
      </c>
      <c r="B11" t="s">
        <v>134</v>
      </c>
      <c r="C11" s="2">
        <v>45441.69840277778</v>
      </c>
      <c r="D11" t="s">
        <v>74</v>
      </c>
      <c r="E11" t="s">
        <v>75</v>
      </c>
      <c r="F11" t="s">
        <v>158</v>
      </c>
      <c r="G11" t="s">
        <v>77</v>
      </c>
      <c r="H11" t="s">
        <v>136</v>
      </c>
      <c r="I11" t="s">
        <v>159</v>
      </c>
      <c r="J11" t="s">
        <v>160</v>
      </c>
      <c r="K11">
        <v>4</v>
      </c>
      <c r="L11">
        <v>7940</v>
      </c>
      <c r="M11">
        <v>2900000</v>
      </c>
      <c r="N11">
        <v>365.2</v>
      </c>
      <c r="O11" t="s">
        <v>81</v>
      </c>
      <c r="P11" t="s">
        <v>136</v>
      </c>
      <c r="Q11">
        <v>1</v>
      </c>
      <c r="R11" t="s">
        <v>82</v>
      </c>
      <c r="S11" t="s">
        <v>161</v>
      </c>
      <c r="T11">
        <v>1688</v>
      </c>
      <c r="U11" t="s">
        <v>84</v>
      </c>
      <c r="W11" t="s">
        <v>158</v>
      </c>
      <c r="X11" t="s">
        <v>162</v>
      </c>
      <c r="Y11" t="s">
        <v>161</v>
      </c>
      <c r="Z11" t="s">
        <v>86</v>
      </c>
      <c r="AA11">
        <v>-749411.62</v>
      </c>
      <c r="AB11">
        <v>-1041375.46</v>
      </c>
      <c r="AC11">
        <v>14.326723626558829</v>
      </c>
      <c r="AD11">
        <v>50.093919507899187</v>
      </c>
      <c r="AE11" t="s">
        <v>163</v>
      </c>
      <c r="AF11">
        <v>729418</v>
      </c>
      <c r="AG11" t="s">
        <v>136</v>
      </c>
      <c r="AH11">
        <v>554782</v>
      </c>
      <c r="AI11" t="s">
        <v>88</v>
      </c>
      <c r="AK11" t="s">
        <v>77</v>
      </c>
      <c r="AL11">
        <v>19</v>
      </c>
      <c r="AM11" t="s">
        <v>77</v>
      </c>
      <c r="AN11" t="s">
        <v>89</v>
      </c>
      <c r="AO11" t="s">
        <v>151</v>
      </c>
      <c r="AP11" t="s">
        <v>158</v>
      </c>
      <c r="AQ11">
        <v>2389954101</v>
      </c>
      <c r="BU11">
        <v>365.2</v>
      </c>
    </row>
    <row r="12" spans="1:73" x14ac:dyDescent="0.3">
      <c r="A12">
        <v>99254</v>
      </c>
      <c r="B12" t="s">
        <v>164</v>
      </c>
      <c r="C12" s="2">
        <v>45890.434756944444</v>
      </c>
      <c r="D12" t="s">
        <v>74</v>
      </c>
      <c r="E12" t="s">
        <v>110</v>
      </c>
      <c r="F12" t="s">
        <v>165</v>
      </c>
      <c r="G12" t="s">
        <v>77</v>
      </c>
      <c r="H12" t="s">
        <v>112</v>
      </c>
      <c r="I12" t="s">
        <v>166</v>
      </c>
      <c r="J12" t="s">
        <v>167</v>
      </c>
      <c r="K12">
        <v>1</v>
      </c>
      <c r="L12">
        <v>5367</v>
      </c>
      <c r="M12">
        <v>1526613</v>
      </c>
      <c r="N12">
        <v>319</v>
      </c>
      <c r="O12" t="s">
        <v>81</v>
      </c>
      <c r="P12" t="s">
        <v>112</v>
      </c>
      <c r="Q12">
        <v>1</v>
      </c>
      <c r="R12" t="s">
        <v>82</v>
      </c>
      <c r="S12" t="s">
        <v>168</v>
      </c>
      <c r="T12">
        <v>5367</v>
      </c>
      <c r="U12" t="s">
        <v>124</v>
      </c>
      <c r="W12" t="s">
        <v>165</v>
      </c>
      <c r="X12" t="s">
        <v>169</v>
      </c>
      <c r="Y12" t="s">
        <v>168</v>
      </c>
      <c r="Z12" t="s">
        <v>86</v>
      </c>
      <c r="AA12">
        <v>-736199.43</v>
      </c>
      <c r="AB12">
        <v>-1045604.74</v>
      </c>
      <c r="AC12">
        <v>14.51767326197551</v>
      </c>
      <c r="AD12">
        <v>50.072441310457663</v>
      </c>
      <c r="AE12" t="s">
        <v>170</v>
      </c>
      <c r="AF12">
        <v>731943</v>
      </c>
      <c r="AG12" t="s">
        <v>112</v>
      </c>
      <c r="AH12">
        <v>554782</v>
      </c>
      <c r="AI12" t="s">
        <v>88</v>
      </c>
      <c r="AK12" t="s">
        <v>77</v>
      </c>
      <c r="AL12">
        <v>19</v>
      </c>
      <c r="AM12" t="s">
        <v>77</v>
      </c>
      <c r="AN12" t="s">
        <v>89</v>
      </c>
      <c r="AO12" t="s">
        <v>119</v>
      </c>
      <c r="AP12" t="s">
        <v>165</v>
      </c>
      <c r="AQ12">
        <v>2163970101</v>
      </c>
      <c r="BU12">
        <v>284.39999999999998</v>
      </c>
    </row>
    <row r="13" spans="1:73" x14ac:dyDescent="0.3">
      <c r="A13">
        <v>97516</v>
      </c>
      <c r="B13" t="s">
        <v>171</v>
      </c>
      <c r="C13" s="2">
        <v>45763.473807870367</v>
      </c>
      <c r="D13" t="s">
        <v>74</v>
      </c>
      <c r="E13" t="s">
        <v>172</v>
      </c>
      <c r="F13" t="s">
        <v>173</v>
      </c>
      <c r="G13" t="s">
        <v>77</v>
      </c>
      <c r="H13" t="s">
        <v>174</v>
      </c>
      <c r="I13" t="s">
        <v>175</v>
      </c>
      <c r="J13" t="s">
        <v>176</v>
      </c>
      <c r="K13">
        <v>4</v>
      </c>
      <c r="L13">
        <v>37961</v>
      </c>
      <c r="M13">
        <v>8200000</v>
      </c>
      <c r="N13">
        <v>216</v>
      </c>
      <c r="O13" t="s">
        <v>177</v>
      </c>
      <c r="P13" t="s">
        <v>174</v>
      </c>
      <c r="Q13">
        <v>1</v>
      </c>
      <c r="R13" t="s">
        <v>82</v>
      </c>
      <c r="S13" t="s">
        <v>178</v>
      </c>
      <c r="T13">
        <v>1054</v>
      </c>
      <c r="U13" t="s">
        <v>179</v>
      </c>
      <c r="W13" t="s">
        <v>173</v>
      </c>
      <c r="X13" t="s">
        <v>180</v>
      </c>
      <c r="Y13" t="s">
        <v>178</v>
      </c>
      <c r="Z13" t="s">
        <v>86</v>
      </c>
      <c r="AA13">
        <v>-737706.38</v>
      </c>
      <c r="AB13">
        <v>-1053288.19</v>
      </c>
      <c r="AC13">
        <v>14.511319260231129</v>
      </c>
      <c r="AD13">
        <v>50.002160465270613</v>
      </c>
      <c r="AE13" t="s">
        <v>181</v>
      </c>
      <c r="AF13">
        <v>762130</v>
      </c>
      <c r="AG13" t="s">
        <v>174</v>
      </c>
      <c r="AH13">
        <v>554782</v>
      </c>
      <c r="AI13" t="s">
        <v>88</v>
      </c>
      <c r="AK13" t="s">
        <v>77</v>
      </c>
      <c r="AL13">
        <v>19</v>
      </c>
      <c r="AM13" t="s">
        <v>77</v>
      </c>
      <c r="AN13" t="s">
        <v>89</v>
      </c>
      <c r="AO13" t="s">
        <v>182</v>
      </c>
      <c r="AP13" t="s">
        <v>173</v>
      </c>
      <c r="AQ13">
        <v>62938620010</v>
      </c>
      <c r="BU13">
        <v>216</v>
      </c>
    </row>
    <row r="14" spans="1:73" x14ac:dyDescent="0.3">
      <c r="A14">
        <v>97517</v>
      </c>
      <c r="B14" t="s">
        <v>171</v>
      </c>
      <c r="C14" s="2">
        <v>45763.473807870367</v>
      </c>
      <c r="D14" t="s">
        <v>74</v>
      </c>
      <c r="E14" t="s">
        <v>183</v>
      </c>
      <c r="F14" t="s">
        <v>184</v>
      </c>
      <c r="G14" t="s">
        <v>77</v>
      </c>
      <c r="H14" t="s">
        <v>174</v>
      </c>
      <c r="I14" t="s">
        <v>185</v>
      </c>
      <c r="J14" t="s">
        <v>186</v>
      </c>
      <c r="K14">
        <v>4</v>
      </c>
      <c r="L14">
        <v>37961</v>
      </c>
      <c r="M14">
        <v>8200000</v>
      </c>
      <c r="N14">
        <v>216</v>
      </c>
      <c r="O14" t="s">
        <v>81</v>
      </c>
      <c r="P14" t="s">
        <v>174</v>
      </c>
      <c r="Q14">
        <v>1</v>
      </c>
      <c r="R14" t="s">
        <v>82</v>
      </c>
      <c r="S14" t="s">
        <v>187</v>
      </c>
      <c r="T14">
        <v>36832</v>
      </c>
      <c r="U14" t="s">
        <v>179</v>
      </c>
      <c r="W14" t="s">
        <v>184</v>
      </c>
      <c r="X14" t="s">
        <v>188</v>
      </c>
      <c r="Y14" t="s">
        <v>187</v>
      </c>
      <c r="Z14" t="s">
        <v>86</v>
      </c>
      <c r="AA14">
        <v>-737796.44</v>
      </c>
      <c r="AB14">
        <v>-1053262.6100000001</v>
      </c>
      <c r="AC14">
        <v>14.510026243515229</v>
      </c>
      <c r="AD14">
        <v>50.002278919334167</v>
      </c>
      <c r="AE14" t="s">
        <v>189</v>
      </c>
      <c r="AF14">
        <v>762130</v>
      </c>
      <c r="AG14" t="s">
        <v>174</v>
      </c>
      <c r="AH14">
        <v>554782</v>
      </c>
      <c r="AI14" t="s">
        <v>88</v>
      </c>
      <c r="AK14" t="s">
        <v>77</v>
      </c>
      <c r="AL14">
        <v>19</v>
      </c>
      <c r="AM14" t="s">
        <v>77</v>
      </c>
      <c r="AN14" t="s">
        <v>89</v>
      </c>
      <c r="AO14" t="s">
        <v>182</v>
      </c>
      <c r="AP14" t="s">
        <v>184</v>
      </c>
      <c r="AQ14">
        <v>62938617010</v>
      </c>
      <c r="BU14">
        <v>216</v>
      </c>
    </row>
    <row r="15" spans="1:73" x14ac:dyDescent="0.3">
      <c r="A15">
        <v>97514</v>
      </c>
      <c r="B15" t="s">
        <v>171</v>
      </c>
      <c r="C15" s="2">
        <v>45763.473807870367</v>
      </c>
      <c r="D15" t="s">
        <v>74</v>
      </c>
      <c r="E15" t="s">
        <v>190</v>
      </c>
      <c r="F15" t="s">
        <v>191</v>
      </c>
      <c r="G15" t="s">
        <v>77</v>
      </c>
      <c r="H15" t="s">
        <v>174</v>
      </c>
      <c r="I15" t="s">
        <v>192</v>
      </c>
      <c r="J15" t="s">
        <v>193</v>
      </c>
      <c r="K15">
        <v>4</v>
      </c>
      <c r="L15">
        <v>37961</v>
      </c>
      <c r="M15">
        <v>8200000</v>
      </c>
      <c r="N15">
        <v>216</v>
      </c>
      <c r="O15" t="s">
        <v>194</v>
      </c>
      <c r="P15" t="s">
        <v>174</v>
      </c>
      <c r="Q15">
        <v>1</v>
      </c>
      <c r="R15" t="s">
        <v>82</v>
      </c>
      <c r="S15" t="s">
        <v>195</v>
      </c>
      <c r="T15">
        <v>57</v>
      </c>
      <c r="U15" t="s">
        <v>196</v>
      </c>
      <c r="W15" t="s">
        <v>191</v>
      </c>
      <c r="X15" t="s">
        <v>197</v>
      </c>
      <c r="Y15" t="s">
        <v>195</v>
      </c>
      <c r="Z15" t="s">
        <v>86</v>
      </c>
      <c r="AA15">
        <v>-737784.57</v>
      </c>
      <c r="AB15">
        <v>-1053148.03</v>
      </c>
      <c r="AC15">
        <v>14.50997428429584</v>
      </c>
      <c r="AD15">
        <v>50.00331411464844</v>
      </c>
      <c r="AE15" t="s">
        <v>198</v>
      </c>
      <c r="AF15">
        <v>762130</v>
      </c>
      <c r="AG15" t="s">
        <v>174</v>
      </c>
      <c r="AH15">
        <v>554782</v>
      </c>
      <c r="AI15" t="s">
        <v>88</v>
      </c>
      <c r="AK15" t="s">
        <v>77</v>
      </c>
      <c r="AL15">
        <v>19</v>
      </c>
      <c r="AM15" t="s">
        <v>77</v>
      </c>
      <c r="AN15" t="s">
        <v>89</v>
      </c>
      <c r="AO15" t="s">
        <v>182</v>
      </c>
      <c r="AP15" t="s">
        <v>191</v>
      </c>
      <c r="AQ15">
        <v>2136821101</v>
      </c>
      <c r="BU15">
        <v>216</v>
      </c>
    </row>
    <row r="16" spans="1:73" x14ac:dyDescent="0.3">
      <c r="A16">
        <v>97515</v>
      </c>
      <c r="B16" t="s">
        <v>171</v>
      </c>
      <c r="C16" s="2">
        <v>45763.473807870367</v>
      </c>
      <c r="D16" t="s">
        <v>74</v>
      </c>
      <c r="E16" t="s">
        <v>190</v>
      </c>
      <c r="F16" t="s">
        <v>199</v>
      </c>
      <c r="G16" t="s">
        <v>77</v>
      </c>
      <c r="H16" t="s">
        <v>174</v>
      </c>
      <c r="I16" t="s">
        <v>200</v>
      </c>
      <c r="J16" t="s">
        <v>201</v>
      </c>
      <c r="K16">
        <v>4</v>
      </c>
      <c r="L16">
        <v>37961</v>
      </c>
      <c r="M16">
        <v>8200000</v>
      </c>
      <c r="N16">
        <v>216</v>
      </c>
      <c r="O16" t="s">
        <v>194</v>
      </c>
      <c r="P16" t="s">
        <v>174</v>
      </c>
      <c r="Q16">
        <v>1</v>
      </c>
      <c r="R16" t="s">
        <v>82</v>
      </c>
      <c r="S16" t="s">
        <v>202</v>
      </c>
      <c r="T16">
        <v>18</v>
      </c>
      <c r="U16" t="s">
        <v>196</v>
      </c>
      <c r="W16" t="s">
        <v>199</v>
      </c>
      <c r="X16" t="s">
        <v>203</v>
      </c>
      <c r="Y16" t="s">
        <v>202</v>
      </c>
      <c r="Z16" t="s">
        <v>86</v>
      </c>
      <c r="AA16">
        <v>-737856.29</v>
      </c>
      <c r="AB16">
        <v>-1053181.17</v>
      </c>
      <c r="AC16">
        <v>14.50904545191872</v>
      </c>
      <c r="AD16">
        <v>50.002931718994908</v>
      </c>
      <c r="AE16" t="s">
        <v>204</v>
      </c>
      <c r="AF16">
        <v>762130</v>
      </c>
      <c r="AG16" t="s">
        <v>174</v>
      </c>
      <c r="AH16">
        <v>554782</v>
      </c>
      <c r="AI16" t="s">
        <v>88</v>
      </c>
      <c r="AK16" t="s">
        <v>77</v>
      </c>
      <c r="AL16">
        <v>19</v>
      </c>
      <c r="AM16" t="s">
        <v>77</v>
      </c>
      <c r="AN16" t="s">
        <v>89</v>
      </c>
      <c r="AO16" t="s">
        <v>182</v>
      </c>
      <c r="AP16" t="s">
        <v>199</v>
      </c>
      <c r="AQ16">
        <v>2136822101</v>
      </c>
      <c r="BU16">
        <v>216</v>
      </c>
    </row>
    <row r="17" spans="1:73" x14ac:dyDescent="0.3">
      <c r="A17">
        <v>32369</v>
      </c>
      <c r="B17" t="s">
        <v>205</v>
      </c>
      <c r="C17" s="2">
        <v>44413.338506944441</v>
      </c>
      <c r="D17" t="s">
        <v>74</v>
      </c>
      <c r="E17" t="s">
        <v>110</v>
      </c>
      <c r="F17" t="s">
        <v>206</v>
      </c>
      <c r="G17" t="s">
        <v>77</v>
      </c>
      <c r="H17" t="s">
        <v>207</v>
      </c>
      <c r="I17" t="s">
        <v>208</v>
      </c>
      <c r="J17" t="s">
        <v>209</v>
      </c>
      <c r="K17">
        <v>5</v>
      </c>
      <c r="L17">
        <v>19641</v>
      </c>
      <c r="M17">
        <v>3122919</v>
      </c>
      <c r="N17">
        <v>159</v>
      </c>
      <c r="O17" t="s">
        <v>139</v>
      </c>
      <c r="P17" t="s">
        <v>207</v>
      </c>
      <c r="Q17">
        <v>1</v>
      </c>
      <c r="R17" t="s">
        <v>82</v>
      </c>
      <c r="S17" t="s">
        <v>210</v>
      </c>
      <c r="T17">
        <v>210</v>
      </c>
      <c r="U17" t="s">
        <v>211</v>
      </c>
      <c r="W17" t="s">
        <v>206</v>
      </c>
      <c r="X17" t="s">
        <v>212</v>
      </c>
      <c r="Y17" t="s">
        <v>210</v>
      </c>
      <c r="Z17" t="s">
        <v>86</v>
      </c>
      <c r="AA17">
        <v>-751330.89</v>
      </c>
      <c r="AB17">
        <v>-1040739.97</v>
      </c>
      <c r="AC17">
        <v>14.29893041531081</v>
      </c>
      <c r="AD17">
        <v>50.097201563123221</v>
      </c>
      <c r="AE17" t="s">
        <v>213</v>
      </c>
      <c r="AF17">
        <v>729710</v>
      </c>
      <c r="AG17" t="s">
        <v>207</v>
      </c>
      <c r="AH17">
        <v>554782</v>
      </c>
      <c r="AI17" t="s">
        <v>88</v>
      </c>
      <c r="AK17" t="s">
        <v>77</v>
      </c>
      <c r="AL17">
        <v>19</v>
      </c>
      <c r="AM17" t="s">
        <v>77</v>
      </c>
      <c r="AN17" t="s">
        <v>89</v>
      </c>
      <c r="AO17" t="s">
        <v>214</v>
      </c>
      <c r="AP17" t="s">
        <v>206</v>
      </c>
      <c r="AQ17">
        <v>2296467101</v>
      </c>
      <c r="BU17">
        <v>159</v>
      </c>
    </row>
    <row r="18" spans="1:73" x14ac:dyDescent="0.3">
      <c r="A18">
        <v>32371</v>
      </c>
      <c r="B18" t="s">
        <v>205</v>
      </c>
      <c r="C18" s="2">
        <v>44413.338506944441</v>
      </c>
      <c r="D18" t="s">
        <v>74</v>
      </c>
      <c r="E18" t="s">
        <v>110</v>
      </c>
      <c r="F18" t="s">
        <v>215</v>
      </c>
      <c r="G18" t="s">
        <v>77</v>
      </c>
      <c r="H18" t="s">
        <v>207</v>
      </c>
      <c r="I18" t="s">
        <v>216</v>
      </c>
      <c r="J18" t="s">
        <v>217</v>
      </c>
      <c r="K18">
        <v>5</v>
      </c>
      <c r="L18">
        <v>19641</v>
      </c>
      <c r="M18">
        <v>3122919</v>
      </c>
      <c r="N18">
        <v>159</v>
      </c>
      <c r="O18" t="s">
        <v>139</v>
      </c>
      <c r="P18" t="s">
        <v>207</v>
      </c>
      <c r="Q18">
        <v>1</v>
      </c>
      <c r="R18" t="s">
        <v>82</v>
      </c>
      <c r="S18" t="s">
        <v>218</v>
      </c>
      <c r="T18">
        <v>11336</v>
      </c>
      <c r="U18" t="s">
        <v>211</v>
      </c>
      <c r="W18" t="s">
        <v>215</v>
      </c>
      <c r="X18" t="s">
        <v>219</v>
      </c>
      <c r="Y18" t="s">
        <v>218</v>
      </c>
      <c r="Z18" t="s">
        <v>86</v>
      </c>
      <c r="AA18">
        <v>-751263.79</v>
      </c>
      <c r="AB18">
        <v>-1040653.19</v>
      </c>
      <c r="AC18">
        <v>14.29969202216872</v>
      </c>
      <c r="AD18">
        <v>50.098057575806003</v>
      </c>
      <c r="AE18" t="s">
        <v>220</v>
      </c>
      <c r="AF18">
        <v>729710</v>
      </c>
      <c r="AG18" t="s">
        <v>207</v>
      </c>
      <c r="AH18">
        <v>554782</v>
      </c>
      <c r="AI18" t="s">
        <v>88</v>
      </c>
      <c r="AK18" t="s">
        <v>77</v>
      </c>
      <c r="AL18">
        <v>19</v>
      </c>
      <c r="AM18" t="s">
        <v>77</v>
      </c>
      <c r="AN18" t="s">
        <v>89</v>
      </c>
      <c r="AO18" t="s">
        <v>214</v>
      </c>
      <c r="AP18" t="s">
        <v>215</v>
      </c>
      <c r="AQ18">
        <v>2296470101</v>
      </c>
      <c r="BU18">
        <v>159</v>
      </c>
    </row>
    <row r="19" spans="1:73" x14ac:dyDescent="0.3">
      <c r="A19">
        <v>32372</v>
      </c>
      <c r="B19" t="s">
        <v>205</v>
      </c>
      <c r="C19" s="2">
        <v>44413.338506944441</v>
      </c>
      <c r="D19" t="s">
        <v>74</v>
      </c>
      <c r="E19" t="s">
        <v>110</v>
      </c>
      <c r="F19" t="s">
        <v>221</v>
      </c>
      <c r="G19" t="s">
        <v>77</v>
      </c>
      <c r="H19" t="s">
        <v>207</v>
      </c>
      <c r="I19" t="s">
        <v>222</v>
      </c>
      <c r="J19" t="s">
        <v>223</v>
      </c>
      <c r="K19">
        <v>5</v>
      </c>
      <c r="L19">
        <v>19641</v>
      </c>
      <c r="M19">
        <v>3122919</v>
      </c>
      <c r="N19">
        <v>159</v>
      </c>
      <c r="O19" t="s">
        <v>139</v>
      </c>
      <c r="P19" t="s">
        <v>207</v>
      </c>
      <c r="Q19">
        <v>1</v>
      </c>
      <c r="R19" t="s">
        <v>82</v>
      </c>
      <c r="S19" t="s">
        <v>224</v>
      </c>
      <c r="T19">
        <v>3583</v>
      </c>
      <c r="U19" t="s">
        <v>211</v>
      </c>
      <c r="W19" t="s">
        <v>221</v>
      </c>
      <c r="X19" t="s">
        <v>225</v>
      </c>
      <c r="Y19" t="s">
        <v>224</v>
      </c>
      <c r="Z19" t="s">
        <v>86</v>
      </c>
      <c r="AA19">
        <v>-751322.73</v>
      </c>
      <c r="AB19">
        <v>-1040719.56</v>
      </c>
      <c r="AC19">
        <v>14.29900402792866</v>
      </c>
      <c r="AD19">
        <v>50.097393438749187</v>
      </c>
      <c r="AE19" t="s">
        <v>226</v>
      </c>
      <c r="AF19">
        <v>729710</v>
      </c>
      <c r="AG19" t="s">
        <v>207</v>
      </c>
      <c r="AH19">
        <v>554782</v>
      </c>
      <c r="AI19" t="s">
        <v>88</v>
      </c>
      <c r="AK19" t="s">
        <v>77</v>
      </c>
      <c r="AL19">
        <v>19</v>
      </c>
      <c r="AM19" t="s">
        <v>77</v>
      </c>
      <c r="AN19" t="s">
        <v>89</v>
      </c>
      <c r="AO19" t="s">
        <v>214</v>
      </c>
      <c r="AP19" t="s">
        <v>221</v>
      </c>
      <c r="AQ19">
        <v>2296468101</v>
      </c>
      <c r="BU19">
        <v>159</v>
      </c>
    </row>
    <row r="20" spans="1:73" x14ac:dyDescent="0.3">
      <c r="A20">
        <v>32368</v>
      </c>
      <c r="B20" t="s">
        <v>205</v>
      </c>
      <c r="C20" s="2">
        <v>44413.338506944441</v>
      </c>
      <c r="D20" t="s">
        <v>74</v>
      </c>
      <c r="E20" t="s">
        <v>110</v>
      </c>
      <c r="F20" t="s">
        <v>227</v>
      </c>
      <c r="G20" t="s">
        <v>77</v>
      </c>
      <c r="H20" t="s">
        <v>207</v>
      </c>
      <c r="I20" t="s">
        <v>228</v>
      </c>
      <c r="J20" t="s">
        <v>229</v>
      </c>
      <c r="K20">
        <v>5</v>
      </c>
      <c r="L20">
        <v>19641</v>
      </c>
      <c r="M20">
        <v>3122919</v>
      </c>
      <c r="N20">
        <v>159</v>
      </c>
      <c r="O20" t="s">
        <v>81</v>
      </c>
      <c r="P20" t="s">
        <v>207</v>
      </c>
      <c r="Q20">
        <v>1</v>
      </c>
      <c r="R20" t="s">
        <v>82</v>
      </c>
      <c r="S20" t="s">
        <v>230</v>
      </c>
      <c r="T20">
        <v>4326</v>
      </c>
      <c r="U20" t="s">
        <v>211</v>
      </c>
      <c r="W20" t="s">
        <v>227</v>
      </c>
      <c r="X20" t="s">
        <v>231</v>
      </c>
      <c r="Y20" t="s">
        <v>230</v>
      </c>
      <c r="Z20" t="s">
        <v>86</v>
      </c>
      <c r="AA20">
        <v>-751348.8</v>
      </c>
      <c r="AB20">
        <v>-1040766.73</v>
      </c>
      <c r="AC20">
        <v>14.298734071225811</v>
      </c>
      <c r="AD20">
        <v>50.096941046617047</v>
      </c>
      <c r="AE20" t="s">
        <v>232</v>
      </c>
      <c r="AF20">
        <v>729710</v>
      </c>
      <c r="AG20" t="s">
        <v>207</v>
      </c>
      <c r="AH20">
        <v>554782</v>
      </c>
      <c r="AI20" t="s">
        <v>88</v>
      </c>
      <c r="AK20" t="s">
        <v>77</v>
      </c>
      <c r="AL20">
        <v>19</v>
      </c>
      <c r="AM20" t="s">
        <v>77</v>
      </c>
      <c r="AN20" t="s">
        <v>89</v>
      </c>
      <c r="AO20" t="s">
        <v>214</v>
      </c>
      <c r="AP20" t="s">
        <v>227</v>
      </c>
      <c r="AQ20">
        <v>2296466101</v>
      </c>
      <c r="BU20">
        <v>159</v>
      </c>
    </row>
    <row r="21" spans="1:73" x14ac:dyDescent="0.3">
      <c r="A21">
        <v>32370</v>
      </c>
      <c r="B21" t="s">
        <v>205</v>
      </c>
      <c r="C21" s="2">
        <v>44413.338506944441</v>
      </c>
      <c r="D21" t="s">
        <v>74</v>
      </c>
      <c r="E21" t="s">
        <v>110</v>
      </c>
      <c r="F21" t="s">
        <v>233</v>
      </c>
      <c r="G21" t="s">
        <v>77</v>
      </c>
      <c r="H21" t="s">
        <v>207</v>
      </c>
      <c r="I21" t="s">
        <v>234</v>
      </c>
      <c r="J21" t="s">
        <v>235</v>
      </c>
      <c r="K21">
        <v>5</v>
      </c>
      <c r="L21">
        <v>19641</v>
      </c>
      <c r="M21">
        <v>3122919</v>
      </c>
      <c r="N21">
        <v>159</v>
      </c>
      <c r="O21" t="s">
        <v>139</v>
      </c>
      <c r="P21" t="s">
        <v>207</v>
      </c>
      <c r="Q21">
        <v>1</v>
      </c>
      <c r="R21" t="s">
        <v>82</v>
      </c>
      <c r="S21" t="s">
        <v>236</v>
      </c>
      <c r="T21">
        <v>186</v>
      </c>
      <c r="U21" t="s">
        <v>211</v>
      </c>
      <c r="W21" t="s">
        <v>233</v>
      </c>
      <c r="X21" t="s">
        <v>237</v>
      </c>
      <c r="Y21" t="s">
        <v>236</v>
      </c>
      <c r="Z21" t="s">
        <v>86</v>
      </c>
      <c r="AA21">
        <v>-751316.13</v>
      </c>
      <c r="AB21">
        <v>-1040696.43</v>
      </c>
      <c r="AC21">
        <v>14.29905080036726</v>
      </c>
      <c r="AD21">
        <v>50.097607601642288</v>
      </c>
      <c r="AE21" t="s">
        <v>238</v>
      </c>
      <c r="AF21">
        <v>729710</v>
      </c>
      <c r="AG21" t="s">
        <v>207</v>
      </c>
      <c r="AH21">
        <v>554782</v>
      </c>
      <c r="AI21" t="s">
        <v>88</v>
      </c>
      <c r="AK21" t="s">
        <v>77</v>
      </c>
      <c r="AL21">
        <v>19</v>
      </c>
      <c r="AM21" t="s">
        <v>77</v>
      </c>
      <c r="AN21" t="s">
        <v>89</v>
      </c>
      <c r="AO21" t="s">
        <v>214</v>
      </c>
      <c r="AP21" t="s">
        <v>233</v>
      </c>
      <c r="AQ21">
        <v>2296469101</v>
      </c>
      <c r="BU21">
        <v>159</v>
      </c>
    </row>
    <row r="22" spans="1:73" x14ac:dyDescent="0.3">
      <c r="A22">
        <v>43349</v>
      </c>
      <c r="B22" t="s">
        <v>239</v>
      </c>
      <c r="C22" s="2">
        <v>44564.664259259262</v>
      </c>
      <c r="D22" t="s">
        <v>74</v>
      </c>
      <c r="E22" t="s">
        <v>127</v>
      </c>
      <c r="F22" t="s">
        <v>240</v>
      </c>
      <c r="G22" t="s">
        <v>77</v>
      </c>
      <c r="H22" t="s">
        <v>241</v>
      </c>
      <c r="I22" t="s">
        <v>242</v>
      </c>
      <c r="J22" t="s">
        <v>243</v>
      </c>
      <c r="K22">
        <v>1</v>
      </c>
      <c r="L22">
        <v>10824</v>
      </c>
      <c r="M22">
        <v>1721016</v>
      </c>
      <c r="N22">
        <v>159</v>
      </c>
      <c r="O22" t="s">
        <v>81</v>
      </c>
      <c r="P22" t="s">
        <v>241</v>
      </c>
      <c r="Q22">
        <v>1</v>
      </c>
      <c r="R22" t="s">
        <v>82</v>
      </c>
      <c r="S22" t="s">
        <v>244</v>
      </c>
      <c r="T22">
        <v>10824</v>
      </c>
      <c r="U22" t="s">
        <v>245</v>
      </c>
      <c r="W22" t="s">
        <v>240</v>
      </c>
      <c r="X22" t="s">
        <v>246</v>
      </c>
      <c r="Y22" t="s">
        <v>244</v>
      </c>
      <c r="Z22" t="s">
        <v>86</v>
      </c>
      <c r="AA22">
        <v>-740314</v>
      </c>
      <c r="AB22">
        <v>-1050736</v>
      </c>
      <c r="AC22">
        <v>14.470449510493109</v>
      </c>
      <c r="AD22">
        <v>50.021721906543974</v>
      </c>
      <c r="AE22" t="s">
        <v>247</v>
      </c>
      <c r="AF22">
        <v>728314</v>
      </c>
      <c r="AG22" t="s">
        <v>241</v>
      </c>
      <c r="AH22">
        <v>554782</v>
      </c>
      <c r="AI22" t="s">
        <v>88</v>
      </c>
      <c r="AK22" t="s">
        <v>77</v>
      </c>
      <c r="AL22">
        <v>19</v>
      </c>
      <c r="AM22" t="s">
        <v>77</v>
      </c>
      <c r="AN22" t="s">
        <v>89</v>
      </c>
      <c r="AO22" t="s">
        <v>248</v>
      </c>
      <c r="AP22" t="s">
        <v>240</v>
      </c>
      <c r="AQ22">
        <v>2141198101</v>
      </c>
      <c r="BU22">
        <v>159</v>
      </c>
    </row>
    <row r="23" spans="1:73" x14ac:dyDescent="0.3">
      <c r="A23">
        <v>34625</v>
      </c>
      <c r="B23" t="s">
        <v>249</v>
      </c>
      <c r="C23" s="2">
        <v>45282.448483796303</v>
      </c>
      <c r="D23" t="s">
        <v>74</v>
      </c>
      <c r="E23" t="s">
        <v>183</v>
      </c>
      <c r="F23" t="s">
        <v>250</v>
      </c>
      <c r="G23" t="s">
        <v>77</v>
      </c>
      <c r="H23" t="s">
        <v>101</v>
      </c>
      <c r="I23" t="s">
        <v>251</v>
      </c>
      <c r="J23" t="s">
        <v>252</v>
      </c>
      <c r="K23">
        <v>3</v>
      </c>
      <c r="L23">
        <v>12013</v>
      </c>
      <c r="M23">
        <v>1600000</v>
      </c>
      <c r="N23">
        <v>133.1</v>
      </c>
      <c r="O23" t="s">
        <v>253</v>
      </c>
      <c r="P23" t="s">
        <v>254</v>
      </c>
      <c r="Q23">
        <v>1</v>
      </c>
      <c r="R23" t="s">
        <v>82</v>
      </c>
      <c r="S23" t="s">
        <v>255</v>
      </c>
      <c r="T23">
        <v>950</v>
      </c>
      <c r="U23" t="s">
        <v>256</v>
      </c>
      <c r="W23" t="s">
        <v>250</v>
      </c>
      <c r="X23" t="s">
        <v>257</v>
      </c>
      <c r="Y23" t="s">
        <v>255</v>
      </c>
      <c r="Z23" t="s">
        <v>86</v>
      </c>
      <c r="AA23">
        <v>-743385.67</v>
      </c>
      <c r="AB23">
        <v>-1054999.3500000001</v>
      </c>
      <c r="AC23">
        <v>14.436081406261479</v>
      </c>
      <c r="AD23">
        <v>49.979991034159731</v>
      </c>
      <c r="AE23" t="s">
        <v>258</v>
      </c>
      <c r="AF23">
        <v>652407</v>
      </c>
      <c r="AG23" t="s">
        <v>254</v>
      </c>
      <c r="AH23">
        <v>554782</v>
      </c>
      <c r="AI23" t="s">
        <v>88</v>
      </c>
      <c r="AK23" t="s">
        <v>77</v>
      </c>
      <c r="AL23">
        <v>19</v>
      </c>
      <c r="AM23" t="s">
        <v>77</v>
      </c>
      <c r="AN23" t="s">
        <v>89</v>
      </c>
      <c r="AO23" t="s">
        <v>259</v>
      </c>
      <c r="AP23" t="s">
        <v>250</v>
      </c>
      <c r="AQ23">
        <v>3616976101</v>
      </c>
      <c r="BU23">
        <v>133.1</v>
      </c>
    </row>
    <row r="24" spans="1:73" x14ac:dyDescent="0.3">
      <c r="A24">
        <v>34623</v>
      </c>
      <c r="B24" t="s">
        <v>249</v>
      </c>
      <c r="C24" s="2">
        <v>45282.448483796303</v>
      </c>
      <c r="D24" t="s">
        <v>74</v>
      </c>
      <c r="E24" t="s">
        <v>183</v>
      </c>
      <c r="F24" t="s">
        <v>260</v>
      </c>
      <c r="G24" t="s">
        <v>77</v>
      </c>
      <c r="H24" t="s">
        <v>101</v>
      </c>
      <c r="I24" t="s">
        <v>261</v>
      </c>
      <c r="J24" t="s">
        <v>262</v>
      </c>
      <c r="K24">
        <v>3</v>
      </c>
      <c r="L24">
        <v>12013</v>
      </c>
      <c r="M24">
        <v>1600000</v>
      </c>
      <c r="N24">
        <v>133.1</v>
      </c>
      <c r="O24" t="s">
        <v>194</v>
      </c>
      <c r="P24" t="s">
        <v>101</v>
      </c>
      <c r="Q24">
        <v>1</v>
      </c>
      <c r="R24" t="s">
        <v>82</v>
      </c>
      <c r="S24" t="s">
        <v>263</v>
      </c>
      <c r="T24">
        <v>6606</v>
      </c>
      <c r="U24" t="s">
        <v>105</v>
      </c>
      <c r="W24" t="s">
        <v>260</v>
      </c>
      <c r="X24" t="s">
        <v>264</v>
      </c>
      <c r="Y24" t="s">
        <v>263</v>
      </c>
      <c r="Z24" t="s">
        <v>86</v>
      </c>
      <c r="AA24">
        <v>-730299.76</v>
      </c>
      <c r="AB24">
        <v>-1042822.63</v>
      </c>
      <c r="AC24">
        <v>14.59413899551889</v>
      </c>
      <c r="AD24">
        <v>50.10436500617427</v>
      </c>
      <c r="AE24" t="s">
        <v>265</v>
      </c>
      <c r="AF24">
        <v>643777</v>
      </c>
      <c r="AG24" t="s">
        <v>101</v>
      </c>
      <c r="AH24">
        <v>554782</v>
      </c>
      <c r="AI24" t="s">
        <v>88</v>
      </c>
      <c r="AK24" t="s">
        <v>77</v>
      </c>
      <c r="AL24">
        <v>19</v>
      </c>
      <c r="AM24" t="s">
        <v>77</v>
      </c>
      <c r="AN24" t="s">
        <v>89</v>
      </c>
      <c r="AO24" t="s">
        <v>108</v>
      </c>
      <c r="AP24" t="s">
        <v>260</v>
      </c>
      <c r="AQ24">
        <v>2288978101</v>
      </c>
      <c r="BU24">
        <v>133.1</v>
      </c>
    </row>
    <row r="25" spans="1:73" x14ac:dyDescent="0.3">
      <c r="A25">
        <v>34624</v>
      </c>
      <c r="B25" t="s">
        <v>249</v>
      </c>
      <c r="C25" s="2">
        <v>45282.448483796303</v>
      </c>
      <c r="D25" t="s">
        <v>74</v>
      </c>
      <c r="E25" t="s">
        <v>183</v>
      </c>
      <c r="F25" t="s">
        <v>266</v>
      </c>
      <c r="G25" t="s">
        <v>77</v>
      </c>
      <c r="H25" t="s">
        <v>101</v>
      </c>
      <c r="I25" t="s">
        <v>267</v>
      </c>
      <c r="J25" t="s">
        <v>268</v>
      </c>
      <c r="K25">
        <v>3</v>
      </c>
      <c r="L25">
        <v>12013</v>
      </c>
      <c r="M25">
        <v>1600000</v>
      </c>
      <c r="N25">
        <v>133.1</v>
      </c>
      <c r="O25" t="s">
        <v>81</v>
      </c>
      <c r="P25" t="s">
        <v>269</v>
      </c>
      <c r="Q25">
        <v>1</v>
      </c>
      <c r="R25" t="s">
        <v>82</v>
      </c>
      <c r="S25" t="s">
        <v>270</v>
      </c>
      <c r="T25">
        <v>4457</v>
      </c>
      <c r="U25" t="s">
        <v>105</v>
      </c>
      <c r="W25" t="s">
        <v>266</v>
      </c>
      <c r="X25" t="s">
        <v>271</v>
      </c>
      <c r="Y25" t="s">
        <v>270</v>
      </c>
      <c r="Z25" t="s">
        <v>86</v>
      </c>
      <c r="AA25">
        <v>-730730.07</v>
      </c>
      <c r="AB25">
        <v>-1043095.5</v>
      </c>
      <c r="AC25">
        <v>14.58868944632076</v>
      </c>
      <c r="AD25">
        <v>50.101415033298203</v>
      </c>
      <c r="AE25" t="s">
        <v>272</v>
      </c>
      <c r="AF25">
        <v>731676</v>
      </c>
      <c r="AG25" t="s">
        <v>269</v>
      </c>
      <c r="AH25">
        <v>554782</v>
      </c>
      <c r="AI25" t="s">
        <v>88</v>
      </c>
      <c r="AK25" t="s">
        <v>77</v>
      </c>
      <c r="AL25">
        <v>19</v>
      </c>
      <c r="AM25" t="s">
        <v>77</v>
      </c>
      <c r="AN25" t="s">
        <v>89</v>
      </c>
      <c r="AO25" t="s">
        <v>273</v>
      </c>
      <c r="AP25" t="s">
        <v>266</v>
      </c>
      <c r="AQ25">
        <v>2291875101</v>
      </c>
      <c r="BU25">
        <v>133.1</v>
      </c>
    </row>
    <row r="26" spans="1:73" x14ac:dyDescent="0.3">
      <c r="A26">
        <v>30641</v>
      </c>
      <c r="B26" t="s">
        <v>274</v>
      </c>
      <c r="C26" s="2">
        <v>45642.40625</v>
      </c>
      <c r="D26" t="s">
        <v>74</v>
      </c>
      <c r="E26" t="s">
        <v>110</v>
      </c>
      <c r="F26" t="s">
        <v>275</v>
      </c>
      <c r="G26" t="s">
        <v>77</v>
      </c>
      <c r="H26" t="s">
        <v>276</v>
      </c>
      <c r="I26" t="s">
        <v>277</v>
      </c>
      <c r="J26" t="s">
        <v>278</v>
      </c>
      <c r="K26">
        <v>9</v>
      </c>
      <c r="L26">
        <v>24997</v>
      </c>
      <c r="M26">
        <v>2549000</v>
      </c>
      <c r="N26">
        <v>101.9</v>
      </c>
      <c r="O26" t="s">
        <v>139</v>
      </c>
      <c r="P26" t="s">
        <v>279</v>
      </c>
      <c r="Q26">
        <v>1</v>
      </c>
      <c r="R26" t="s">
        <v>82</v>
      </c>
      <c r="S26" t="s">
        <v>280</v>
      </c>
      <c r="T26">
        <v>7</v>
      </c>
      <c r="U26" t="s">
        <v>281</v>
      </c>
      <c r="W26" t="s">
        <v>275</v>
      </c>
      <c r="X26" t="s">
        <v>282</v>
      </c>
      <c r="Y26" t="s">
        <v>280</v>
      </c>
      <c r="Z26" t="s">
        <v>86</v>
      </c>
      <c r="AA26">
        <v>-734968.02</v>
      </c>
      <c r="AB26">
        <v>-1050073.81</v>
      </c>
      <c r="AC26">
        <v>14.5431299909697</v>
      </c>
      <c r="AD26">
        <v>50.034119574414333</v>
      </c>
      <c r="AE26" t="s">
        <v>283</v>
      </c>
      <c r="AF26">
        <v>732613</v>
      </c>
      <c r="AG26" t="s">
        <v>279</v>
      </c>
      <c r="AH26">
        <v>554782</v>
      </c>
      <c r="AI26" t="s">
        <v>88</v>
      </c>
      <c r="AK26" t="s">
        <v>77</v>
      </c>
      <c r="AL26">
        <v>19</v>
      </c>
      <c r="AM26" t="s">
        <v>77</v>
      </c>
      <c r="AN26" t="s">
        <v>89</v>
      </c>
      <c r="AO26" t="s">
        <v>284</v>
      </c>
      <c r="AP26" t="s">
        <v>275</v>
      </c>
      <c r="AQ26">
        <v>2257282101</v>
      </c>
      <c r="BU26">
        <v>101.9</v>
      </c>
    </row>
    <row r="27" spans="1:73" x14ac:dyDescent="0.3">
      <c r="A27">
        <v>30637</v>
      </c>
      <c r="B27" t="s">
        <v>274</v>
      </c>
      <c r="C27" s="2">
        <v>45642.40625</v>
      </c>
      <c r="D27" t="s">
        <v>74</v>
      </c>
      <c r="E27" t="s">
        <v>110</v>
      </c>
      <c r="F27" t="s">
        <v>285</v>
      </c>
      <c r="G27" t="s">
        <v>77</v>
      </c>
      <c r="H27" t="s">
        <v>276</v>
      </c>
      <c r="I27" t="s">
        <v>286</v>
      </c>
      <c r="J27" t="s">
        <v>287</v>
      </c>
      <c r="K27">
        <v>9</v>
      </c>
      <c r="L27">
        <v>24997</v>
      </c>
      <c r="M27">
        <v>2549000</v>
      </c>
      <c r="N27">
        <v>101.9</v>
      </c>
      <c r="O27" t="s">
        <v>139</v>
      </c>
      <c r="P27" t="s">
        <v>279</v>
      </c>
      <c r="Q27">
        <v>1</v>
      </c>
      <c r="R27" t="s">
        <v>82</v>
      </c>
      <c r="S27" t="s">
        <v>288</v>
      </c>
      <c r="T27">
        <v>25</v>
      </c>
      <c r="U27" t="s">
        <v>281</v>
      </c>
      <c r="W27" t="s">
        <v>285</v>
      </c>
      <c r="X27" t="s">
        <v>289</v>
      </c>
      <c r="Y27" t="s">
        <v>288</v>
      </c>
      <c r="Z27" t="s">
        <v>86</v>
      </c>
      <c r="AA27">
        <v>-734939.54</v>
      </c>
      <c r="AB27">
        <v>-1050068.68</v>
      </c>
      <c r="AC27">
        <v>14.543514273502909</v>
      </c>
      <c r="AD27">
        <v>50.034199774600083</v>
      </c>
      <c r="AE27" t="s">
        <v>290</v>
      </c>
      <c r="AF27">
        <v>732613</v>
      </c>
      <c r="AG27" t="s">
        <v>279</v>
      </c>
      <c r="AH27">
        <v>554782</v>
      </c>
      <c r="AI27" t="s">
        <v>88</v>
      </c>
      <c r="AK27" t="s">
        <v>77</v>
      </c>
      <c r="AL27">
        <v>19</v>
      </c>
      <c r="AM27" t="s">
        <v>77</v>
      </c>
      <c r="AN27" t="s">
        <v>89</v>
      </c>
      <c r="AO27" t="s">
        <v>284</v>
      </c>
      <c r="AP27" t="s">
        <v>285</v>
      </c>
      <c r="AQ27">
        <v>2257278101</v>
      </c>
      <c r="BU27">
        <v>101.9</v>
      </c>
    </row>
    <row r="28" spans="1:73" x14ac:dyDescent="0.3">
      <c r="A28">
        <v>30633</v>
      </c>
      <c r="B28" t="s">
        <v>274</v>
      </c>
      <c r="C28" s="2">
        <v>45642.40625</v>
      </c>
      <c r="D28" t="s">
        <v>74</v>
      </c>
      <c r="E28" t="s">
        <v>127</v>
      </c>
      <c r="F28" t="s">
        <v>291</v>
      </c>
      <c r="G28" t="s">
        <v>77</v>
      </c>
      <c r="H28" t="s">
        <v>276</v>
      </c>
      <c r="I28" t="s">
        <v>292</v>
      </c>
      <c r="J28" t="s">
        <v>293</v>
      </c>
      <c r="K28">
        <v>9</v>
      </c>
      <c r="L28">
        <v>24997</v>
      </c>
      <c r="M28">
        <v>2549000</v>
      </c>
      <c r="N28">
        <v>101.9</v>
      </c>
      <c r="O28" t="s">
        <v>294</v>
      </c>
      <c r="P28" t="s">
        <v>276</v>
      </c>
      <c r="Q28">
        <v>1</v>
      </c>
      <c r="R28" t="s">
        <v>82</v>
      </c>
      <c r="S28" t="s">
        <v>295</v>
      </c>
      <c r="T28">
        <v>8843</v>
      </c>
      <c r="U28" t="s">
        <v>296</v>
      </c>
      <c r="W28" t="s">
        <v>291</v>
      </c>
      <c r="X28" t="s">
        <v>297</v>
      </c>
      <c r="Y28" t="s">
        <v>295</v>
      </c>
      <c r="Z28" t="s">
        <v>86</v>
      </c>
      <c r="AA28">
        <v>-734451.92</v>
      </c>
      <c r="AB28">
        <v>-1049546.79</v>
      </c>
      <c r="AC28">
        <v>14.549278198639749</v>
      </c>
      <c r="AD28">
        <v>50.039439900556879</v>
      </c>
      <c r="AE28" t="s">
        <v>298</v>
      </c>
      <c r="AF28">
        <v>732052</v>
      </c>
      <c r="AG28" t="s">
        <v>276</v>
      </c>
      <c r="AH28">
        <v>554782</v>
      </c>
      <c r="AI28" t="s">
        <v>88</v>
      </c>
      <c r="AK28" t="s">
        <v>77</v>
      </c>
      <c r="AL28">
        <v>19</v>
      </c>
      <c r="AM28" t="s">
        <v>77</v>
      </c>
      <c r="AN28" t="s">
        <v>89</v>
      </c>
      <c r="AO28" t="s">
        <v>299</v>
      </c>
      <c r="AP28" t="s">
        <v>291</v>
      </c>
      <c r="AQ28">
        <v>2253388101</v>
      </c>
      <c r="BU28">
        <v>101.9</v>
      </c>
    </row>
    <row r="29" spans="1:73" x14ac:dyDescent="0.3">
      <c r="A29">
        <v>30640</v>
      </c>
      <c r="B29" t="s">
        <v>274</v>
      </c>
      <c r="C29" s="2">
        <v>45642.40625</v>
      </c>
      <c r="D29" t="s">
        <v>74</v>
      </c>
      <c r="E29" t="s">
        <v>110</v>
      </c>
      <c r="F29" t="s">
        <v>300</v>
      </c>
      <c r="G29" t="s">
        <v>77</v>
      </c>
      <c r="H29" t="s">
        <v>276</v>
      </c>
      <c r="I29" t="s">
        <v>301</v>
      </c>
      <c r="J29" t="s">
        <v>302</v>
      </c>
      <c r="K29">
        <v>9</v>
      </c>
      <c r="L29">
        <v>24997</v>
      </c>
      <c r="M29">
        <v>2549000</v>
      </c>
      <c r="N29">
        <v>101.9</v>
      </c>
      <c r="O29" t="s">
        <v>139</v>
      </c>
      <c r="P29" t="s">
        <v>279</v>
      </c>
      <c r="Q29">
        <v>1</v>
      </c>
      <c r="R29" t="s">
        <v>82</v>
      </c>
      <c r="S29" t="s">
        <v>303</v>
      </c>
      <c r="T29">
        <v>43</v>
      </c>
      <c r="U29" t="s">
        <v>281</v>
      </c>
      <c r="W29" t="s">
        <v>300</v>
      </c>
      <c r="X29" t="s">
        <v>304</v>
      </c>
      <c r="Y29" t="s">
        <v>303</v>
      </c>
      <c r="Z29" t="s">
        <v>86</v>
      </c>
      <c r="AA29">
        <v>-734909.33</v>
      </c>
      <c r="AB29">
        <v>-1049992.1200000001</v>
      </c>
      <c r="AC29">
        <v>14.543788172669631</v>
      </c>
      <c r="AD29">
        <v>50.034918459539163</v>
      </c>
      <c r="AE29" t="s">
        <v>305</v>
      </c>
      <c r="AF29">
        <v>732613</v>
      </c>
      <c r="AG29" t="s">
        <v>279</v>
      </c>
      <c r="AH29">
        <v>554782</v>
      </c>
      <c r="AI29" t="s">
        <v>88</v>
      </c>
      <c r="AK29" t="s">
        <v>77</v>
      </c>
      <c r="AL29">
        <v>19</v>
      </c>
      <c r="AM29" t="s">
        <v>77</v>
      </c>
      <c r="AN29" t="s">
        <v>89</v>
      </c>
      <c r="AO29" t="s">
        <v>284</v>
      </c>
      <c r="AP29" t="s">
        <v>300</v>
      </c>
      <c r="AQ29">
        <v>2257281101</v>
      </c>
      <c r="BU29">
        <v>101.9</v>
      </c>
    </row>
    <row r="30" spans="1:73" x14ac:dyDescent="0.3">
      <c r="A30">
        <v>30635</v>
      </c>
      <c r="B30" t="s">
        <v>274</v>
      </c>
      <c r="C30" s="2">
        <v>45642.40625</v>
      </c>
      <c r="D30" t="s">
        <v>74</v>
      </c>
      <c r="E30" t="s">
        <v>110</v>
      </c>
      <c r="F30" t="s">
        <v>306</v>
      </c>
      <c r="G30" t="s">
        <v>77</v>
      </c>
      <c r="H30" t="s">
        <v>276</v>
      </c>
      <c r="I30" t="s">
        <v>307</v>
      </c>
      <c r="J30" t="s">
        <v>308</v>
      </c>
      <c r="K30">
        <v>9</v>
      </c>
      <c r="L30">
        <v>24997</v>
      </c>
      <c r="M30">
        <v>2549000</v>
      </c>
      <c r="N30">
        <v>101.9</v>
      </c>
      <c r="O30" t="s">
        <v>139</v>
      </c>
      <c r="P30" t="s">
        <v>276</v>
      </c>
      <c r="Q30">
        <v>1</v>
      </c>
      <c r="R30" t="s">
        <v>82</v>
      </c>
      <c r="S30" t="s">
        <v>309</v>
      </c>
      <c r="T30">
        <v>5904</v>
      </c>
      <c r="U30" t="s">
        <v>296</v>
      </c>
      <c r="W30" t="s">
        <v>306</v>
      </c>
      <c r="X30" t="s">
        <v>310</v>
      </c>
      <c r="Y30" t="s">
        <v>309</v>
      </c>
      <c r="Z30" t="s">
        <v>86</v>
      </c>
      <c r="AA30">
        <v>-734522.46</v>
      </c>
      <c r="AB30">
        <v>-1049537.6100000001</v>
      </c>
      <c r="AC30">
        <v>14.548285133303921</v>
      </c>
      <c r="AD30">
        <v>50.039436294994943</v>
      </c>
      <c r="AE30" t="s">
        <v>311</v>
      </c>
      <c r="AF30">
        <v>732052</v>
      </c>
      <c r="AG30" t="s">
        <v>276</v>
      </c>
      <c r="AH30">
        <v>554782</v>
      </c>
      <c r="AI30" t="s">
        <v>88</v>
      </c>
      <c r="AK30" t="s">
        <v>77</v>
      </c>
      <c r="AL30">
        <v>19</v>
      </c>
      <c r="AM30" t="s">
        <v>77</v>
      </c>
      <c r="AN30" t="s">
        <v>89</v>
      </c>
      <c r="AO30" t="s">
        <v>299</v>
      </c>
      <c r="AP30" t="s">
        <v>306</v>
      </c>
      <c r="AQ30">
        <v>2253392101</v>
      </c>
      <c r="BU30">
        <v>101.9</v>
      </c>
    </row>
    <row r="31" spans="1:73" x14ac:dyDescent="0.3">
      <c r="A31">
        <v>30634</v>
      </c>
      <c r="B31" t="s">
        <v>274</v>
      </c>
      <c r="C31" s="2">
        <v>45642.40625</v>
      </c>
      <c r="D31" t="s">
        <v>74</v>
      </c>
      <c r="E31" t="s">
        <v>127</v>
      </c>
      <c r="F31" t="s">
        <v>312</v>
      </c>
      <c r="G31" t="s">
        <v>77</v>
      </c>
      <c r="H31" t="s">
        <v>276</v>
      </c>
      <c r="I31" t="s">
        <v>313</v>
      </c>
      <c r="J31" t="s">
        <v>314</v>
      </c>
      <c r="K31">
        <v>9</v>
      </c>
      <c r="L31">
        <v>24997</v>
      </c>
      <c r="M31">
        <v>2549000</v>
      </c>
      <c r="N31">
        <v>101.9</v>
      </c>
      <c r="O31" t="s">
        <v>81</v>
      </c>
      <c r="P31" t="s">
        <v>276</v>
      </c>
      <c r="Q31">
        <v>1</v>
      </c>
      <c r="R31" t="s">
        <v>82</v>
      </c>
      <c r="S31" t="s">
        <v>315</v>
      </c>
      <c r="T31">
        <v>1076</v>
      </c>
      <c r="U31" t="s">
        <v>296</v>
      </c>
      <c r="W31" t="s">
        <v>312</v>
      </c>
      <c r="X31" t="s">
        <v>316</v>
      </c>
      <c r="Y31" t="s">
        <v>315</v>
      </c>
      <c r="Z31" t="s">
        <v>86</v>
      </c>
      <c r="AA31">
        <v>-734282.25</v>
      </c>
      <c r="AB31">
        <v>-1049641.3400000001</v>
      </c>
      <c r="AC31">
        <v>14.551802996414679</v>
      </c>
      <c r="AD31">
        <v>50.038802879336139</v>
      </c>
      <c r="AE31" t="s">
        <v>317</v>
      </c>
      <c r="AF31">
        <v>732052</v>
      </c>
      <c r="AG31" t="s">
        <v>276</v>
      </c>
      <c r="AH31">
        <v>554782</v>
      </c>
      <c r="AI31" t="s">
        <v>88</v>
      </c>
      <c r="AK31" t="s">
        <v>77</v>
      </c>
      <c r="AL31">
        <v>19</v>
      </c>
      <c r="AM31" t="s">
        <v>77</v>
      </c>
      <c r="AN31" t="s">
        <v>89</v>
      </c>
      <c r="AO31" t="s">
        <v>299</v>
      </c>
      <c r="AP31" t="s">
        <v>312</v>
      </c>
      <c r="AQ31">
        <v>2253389101</v>
      </c>
      <c r="BU31">
        <v>101.9</v>
      </c>
    </row>
    <row r="32" spans="1:73" x14ac:dyDescent="0.3">
      <c r="A32">
        <v>30638</v>
      </c>
      <c r="B32" t="s">
        <v>274</v>
      </c>
      <c r="C32" s="2">
        <v>45642.40625</v>
      </c>
      <c r="D32" t="s">
        <v>74</v>
      </c>
      <c r="E32" t="s">
        <v>110</v>
      </c>
      <c r="F32" t="s">
        <v>318</v>
      </c>
      <c r="G32" t="s">
        <v>77</v>
      </c>
      <c r="H32" t="s">
        <v>276</v>
      </c>
      <c r="I32" t="s">
        <v>319</v>
      </c>
      <c r="J32" t="s">
        <v>320</v>
      </c>
      <c r="K32">
        <v>9</v>
      </c>
      <c r="L32">
        <v>24997</v>
      </c>
      <c r="M32">
        <v>2549000</v>
      </c>
      <c r="N32">
        <v>101.9</v>
      </c>
      <c r="O32" t="s">
        <v>139</v>
      </c>
      <c r="P32" t="s">
        <v>279</v>
      </c>
      <c r="Q32">
        <v>1</v>
      </c>
      <c r="R32" t="s">
        <v>82</v>
      </c>
      <c r="S32" t="s">
        <v>321</v>
      </c>
      <c r="T32">
        <v>14</v>
      </c>
      <c r="U32" t="s">
        <v>281</v>
      </c>
      <c r="W32" t="s">
        <v>318</v>
      </c>
      <c r="X32" t="s">
        <v>322</v>
      </c>
      <c r="Y32" t="s">
        <v>321</v>
      </c>
      <c r="Z32" t="s">
        <v>86</v>
      </c>
      <c r="AA32">
        <v>-734906.97</v>
      </c>
      <c r="AB32">
        <v>-1050058.44</v>
      </c>
      <c r="AC32">
        <v>14.543945521045259</v>
      </c>
      <c r="AD32">
        <v>50.034330453603843</v>
      </c>
      <c r="AE32" t="s">
        <v>323</v>
      </c>
      <c r="AF32">
        <v>732613</v>
      </c>
      <c r="AG32" t="s">
        <v>279</v>
      </c>
      <c r="AH32">
        <v>554782</v>
      </c>
      <c r="AI32" t="s">
        <v>88</v>
      </c>
      <c r="AK32" t="s">
        <v>77</v>
      </c>
      <c r="AL32">
        <v>19</v>
      </c>
      <c r="AM32" t="s">
        <v>77</v>
      </c>
      <c r="AN32" t="s">
        <v>89</v>
      </c>
      <c r="AO32" t="s">
        <v>284</v>
      </c>
      <c r="AP32" t="s">
        <v>318</v>
      </c>
      <c r="AQ32">
        <v>2257279101</v>
      </c>
      <c r="BU32">
        <v>101.9</v>
      </c>
    </row>
    <row r="33" spans="1:73" x14ac:dyDescent="0.3">
      <c r="A33">
        <v>30639</v>
      </c>
      <c r="B33" t="s">
        <v>274</v>
      </c>
      <c r="C33" s="2">
        <v>45642.40625</v>
      </c>
      <c r="D33" t="s">
        <v>74</v>
      </c>
      <c r="E33" t="s">
        <v>110</v>
      </c>
      <c r="F33" t="s">
        <v>324</v>
      </c>
      <c r="G33" t="s">
        <v>77</v>
      </c>
      <c r="H33" t="s">
        <v>276</v>
      </c>
      <c r="I33" t="s">
        <v>325</v>
      </c>
      <c r="J33" t="s">
        <v>326</v>
      </c>
      <c r="K33">
        <v>9</v>
      </c>
      <c r="L33">
        <v>24997</v>
      </c>
      <c r="M33">
        <v>2549000</v>
      </c>
      <c r="N33">
        <v>101.9</v>
      </c>
      <c r="O33" t="s">
        <v>139</v>
      </c>
      <c r="P33" t="s">
        <v>279</v>
      </c>
      <c r="Q33">
        <v>1</v>
      </c>
      <c r="R33" t="s">
        <v>82</v>
      </c>
      <c r="S33" t="s">
        <v>327</v>
      </c>
      <c r="T33">
        <v>41</v>
      </c>
      <c r="U33" t="s">
        <v>281</v>
      </c>
      <c r="W33" t="s">
        <v>324</v>
      </c>
      <c r="X33" t="s">
        <v>328</v>
      </c>
      <c r="Y33" t="s">
        <v>327</v>
      </c>
      <c r="Z33" t="s">
        <v>86</v>
      </c>
      <c r="AA33">
        <v>-734894.04</v>
      </c>
      <c r="AB33">
        <v>-1050028.23</v>
      </c>
      <c r="AC33">
        <v>14.544067562863599</v>
      </c>
      <c r="AD33">
        <v>50.034615263424193</v>
      </c>
      <c r="AE33" t="s">
        <v>329</v>
      </c>
      <c r="AF33">
        <v>732613</v>
      </c>
      <c r="AG33" t="s">
        <v>279</v>
      </c>
      <c r="AH33">
        <v>554782</v>
      </c>
      <c r="AI33" t="s">
        <v>88</v>
      </c>
      <c r="AK33" t="s">
        <v>77</v>
      </c>
      <c r="AL33">
        <v>19</v>
      </c>
      <c r="AM33" t="s">
        <v>77</v>
      </c>
      <c r="AN33" t="s">
        <v>89</v>
      </c>
      <c r="AO33" t="s">
        <v>284</v>
      </c>
      <c r="AP33" t="s">
        <v>324</v>
      </c>
      <c r="AQ33">
        <v>2257280101</v>
      </c>
      <c r="BU33">
        <v>101.9</v>
      </c>
    </row>
    <row r="34" spans="1:73" x14ac:dyDescent="0.3">
      <c r="A34">
        <v>30636</v>
      </c>
      <c r="B34" t="s">
        <v>274</v>
      </c>
      <c r="C34" s="2">
        <v>45642.40625</v>
      </c>
      <c r="D34" t="s">
        <v>74</v>
      </c>
      <c r="E34" t="s">
        <v>183</v>
      </c>
      <c r="F34" t="s">
        <v>330</v>
      </c>
      <c r="G34" t="s">
        <v>77</v>
      </c>
      <c r="H34" t="s">
        <v>276</v>
      </c>
      <c r="I34" t="s">
        <v>331</v>
      </c>
      <c r="J34" t="s">
        <v>332</v>
      </c>
      <c r="K34">
        <v>9</v>
      </c>
      <c r="L34">
        <v>24997</v>
      </c>
      <c r="M34">
        <v>2549000</v>
      </c>
      <c r="N34">
        <v>101.9</v>
      </c>
      <c r="O34" t="s">
        <v>81</v>
      </c>
      <c r="P34" t="s">
        <v>333</v>
      </c>
      <c r="Q34">
        <v>1</v>
      </c>
      <c r="R34" t="s">
        <v>82</v>
      </c>
      <c r="S34" t="s">
        <v>334</v>
      </c>
      <c r="T34">
        <v>9044</v>
      </c>
      <c r="U34" t="s">
        <v>296</v>
      </c>
      <c r="W34" t="s">
        <v>330</v>
      </c>
      <c r="X34" t="s">
        <v>335</v>
      </c>
      <c r="Y34" t="s">
        <v>334</v>
      </c>
      <c r="Z34" t="s">
        <v>86</v>
      </c>
      <c r="AA34">
        <v>-734947.35</v>
      </c>
      <c r="AB34">
        <v>-1050024.53</v>
      </c>
      <c r="AC34">
        <v>14.54332322589355</v>
      </c>
      <c r="AD34">
        <v>50.034583660013837</v>
      </c>
      <c r="AE34" t="s">
        <v>336</v>
      </c>
      <c r="AF34">
        <v>728233</v>
      </c>
      <c r="AG34" t="s">
        <v>333</v>
      </c>
      <c r="AH34">
        <v>554782</v>
      </c>
      <c r="AI34" t="s">
        <v>88</v>
      </c>
      <c r="AK34" t="s">
        <v>77</v>
      </c>
      <c r="AL34">
        <v>19</v>
      </c>
      <c r="AM34" t="s">
        <v>77</v>
      </c>
      <c r="AN34" t="s">
        <v>89</v>
      </c>
      <c r="AO34" t="s">
        <v>337</v>
      </c>
      <c r="AP34" t="s">
        <v>330</v>
      </c>
      <c r="AQ34">
        <v>2247932101</v>
      </c>
      <c r="BU34">
        <v>101.9</v>
      </c>
    </row>
    <row r="35" spans="1:73" x14ac:dyDescent="0.3">
      <c r="A35">
        <v>99043</v>
      </c>
      <c r="B35" t="s">
        <v>338</v>
      </c>
      <c r="C35" s="2">
        <v>44729.44494212963</v>
      </c>
      <c r="D35" t="s">
        <v>74</v>
      </c>
      <c r="E35" t="s">
        <v>110</v>
      </c>
      <c r="F35" t="s">
        <v>339</v>
      </c>
      <c r="G35" t="s">
        <v>77</v>
      </c>
      <c r="H35" t="s">
        <v>340</v>
      </c>
      <c r="I35" t="s">
        <v>341</v>
      </c>
      <c r="J35" t="s">
        <v>342</v>
      </c>
      <c r="K35">
        <v>4</v>
      </c>
      <c r="L35">
        <v>31371</v>
      </c>
      <c r="M35">
        <v>3000000</v>
      </c>
      <c r="N35">
        <v>192</v>
      </c>
      <c r="O35" t="s">
        <v>81</v>
      </c>
      <c r="P35" t="s">
        <v>340</v>
      </c>
      <c r="Q35">
        <v>1</v>
      </c>
      <c r="R35" t="s">
        <v>82</v>
      </c>
      <c r="S35" t="s">
        <v>343</v>
      </c>
      <c r="T35">
        <v>18456</v>
      </c>
      <c r="U35" t="s">
        <v>296</v>
      </c>
      <c r="W35" t="s">
        <v>339</v>
      </c>
      <c r="X35" t="s">
        <v>344</v>
      </c>
      <c r="Y35" t="s">
        <v>343</v>
      </c>
      <c r="Z35" t="s">
        <v>86</v>
      </c>
      <c r="AA35">
        <v>-735060.67</v>
      </c>
      <c r="AB35">
        <v>-1043759.33</v>
      </c>
      <c r="AC35">
        <v>14.529959014361051</v>
      </c>
      <c r="AD35">
        <v>50.090263755292469</v>
      </c>
      <c r="AE35" t="s">
        <v>345</v>
      </c>
      <c r="AF35">
        <v>731234</v>
      </c>
      <c r="AG35" t="s">
        <v>340</v>
      </c>
      <c r="AH35">
        <v>554782</v>
      </c>
      <c r="AI35" t="s">
        <v>88</v>
      </c>
      <c r="AK35" t="s">
        <v>77</v>
      </c>
      <c r="AL35">
        <v>19</v>
      </c>
      <c r="AM35" t="s">
        <v>77</v>
      </c>
      <c r="AN35" t="s">
        <v>89</v>
      </c>
      <c r="AO35" t="s">
        <v>346</v>
      </c>
      <c r="AP35" t="s">
        <v>339</v>
      </c>
      <c r="AQ35">
        <v>2233546101</v>
      </c>
      <c r="BU35">
        <v>95.6</v>
      </c>
    </row>
    <row r="36" spans="1:73" x14ac:dyDescent="0.3">
      <c r="A36">
        <v>99042</v>
      </c>
      <c r="B36" t="s">
        <v>338</v>
      </c>
      <c r="C36" s="2">
        <v>44729.44494212963</v>
      </c>
      <c r="D36" t="s">
        <v>74</v>
      </c>
      <c r="E36" t="s">
        <v>190</v>
      </c>
      <c r="F36" t="s">
        <v>347</v>
      </c>
      <c r="G36" t="s">
        <v>77</v>
      </c>
      <c r="H36" t="s">
        <v>340</v>
      </c>
      <c r="I36" t="s">
        <v>348</v>
      </c>
      <c r="J36" t="s">
        <v>349</v>
      </c>
      <c r="K36">
        <v>4</v>
      </c>
      <c r="L36">
        <v>31371</v>
      </c>
      <c r="M36">
        <v>3000000</v>
      </c>
      <c r="N36">
        <v>192</v>
      </c>
      <c r="O36" t="s">
        <v>350</v>
      </c>
      <c r="P36" t="s">
        <v>340</v>
      </c>
      <c r="Q36">
        <v>1</v>
      </c>
      <c r="R36" t="s">
        <v>82</v>
      </c>
      <c r="S36" t="s">
        <v>351</v>
      </c>
      <c r="T36">
        <v>745</v>
      </c>
      <c r="U36" t="s">
        <v>296</v>
      </c>
      <c r="W36" t="s">
        <v>347</v>
      </c>
      <c r="X36" t="s">
        <v>352</v>
      </c>
      <c r="Y36" t="s">
        <v>351</v>
      </c>
      <c r="Z36" t="s">
        <v>86</v>
      </c>
      <c r="AA36">
        <v>-735120.99</v>
      </c>
      <c r="AB36">
        <v>-1043889.73</v>
      </c>
      <c r="AC36">
        <v>14.52936955902843</v>
      </c>
      <c r="AD36">
        <v>50.089028869863697</v>
      </c>
      <c r="AE36" t="s">
        <v>353</v>
      </c>
      <c r="AF36">
        <v>731234</v>
      </c>
      <c r="AG36" t="s">
        <v>340</v>
      </c>
      <c r="AH36">
        <v>554782</v>
      </c>
      <c r="AI36" t="s">
        <v>88</v>
      </c>
      <c r="AK36" t="s">
        <v>77</v>
      </c>
      <c r="AL36">
        <v>19</v>
      </c>
      <c r="AM36" t="s">
        <v>77</v>
      </c>
      <c r="AN36" t="s">
        <v>89</v>
      </c>
      <c r="AO36" t="s">
        <v>346</v>
      </c>
      <c r="AP36" t="s">
        <v>347</v>
      </c>
      <c r="AQ36">
        <v>2233783101</v>
      </c>
      <c r="BU36">
        <v>95.6</v>
      </c>
    </row>
    <row r="37" spans="1:73" x14ac:dyDescent="0.3">
      <c r="A37">
        <v>99044</v>
      </c>
      <c r="B37" t="s">
        <v>338</v>
      </c>
      <c r="C37" s="2">
        <v>44729.44494212963</v>
      </c>
      <c r="D37" t="s">
        <v>74</v>
      </c>
      <c r="E37" t="s">
        <v>190</v>
      </c>
      <c r="F37" t="s">
        <v>354</v>
      </c>
      <c r="G37" t="s">
        <v>77</v>
      </c>
      <c r="H37" t="s">
        <v>340</v>
      </c>
      <c r="I37" t="s">
        <v>355</v>
      </c>
      <c r="J37" t="s">
        <v>356</v>
      </c>
      <c r="K37">
        <v>4</v>
      </c>
      <c r="L37">
        <v>31371</v>
      </c>
      <c r="M37">
        <v>3000000</v>
      </c>
      <c r="N37">
        <v>192</v>
      </c>
      <c r="O37" t="s">
        <v>81</v>
      </c>
      <c r="P37" t="s">
        <v>340</v>
      </c>
      <c r="Q37">
        <v>1</v>
      </c>
      <c r="R37" t="s">
        <v>82</v>
      </c>
      <c r="S37" t="s">
        <v>357</v>
      </c>
      <c r="T37">
        <v>1146</v>
      </c>
      <c r="U37" t="s">
        <v>296</v>
      </c>
      <c r="W37" t="s">
        <v>354</v>
      </c>
      <c r="X37" t="s">
        <v>358</v>
      </c>
      <c r="Y37" t="s">
        <v>357</v>
      </c>
      <c r="Z37" t="s">
        <v>86</v>
      </c>
      <c r="AA37">
        <v>-735150.62</v>
      </c>
      <c r="AB37">
        <v>-1043794.77</v>
      </c>
      <c r="AC37">
        <v>14.52878024411498</v>
      </c>
      <c r="AD37">
        <v>50.089838925797757</v>
      </c>
      <c r="AE37" t="s">
        <v>359</v>
      </c>
      <c r="AF37">
        <v>731234</v>
      </c>
      <c r="AG37" t="s">
        <v>340</v>
      </c>
      <c r="AH37">
        <v>554782</v>
      </c>
      <c r="AI37" t="s">
        <v>88</v>
      </c>
      <c r="AK37" t="s">
        <v>77</v>
      </c>
      <c r="AL37">
        <v>19</v>
      </c>
      <c r="AM37" t="s">
        <v>77</v>
      </c>
      <c r="AN37" t="s">
        <v>89</v>
      </c>
      <c r="AO37" t="s">
        <v>346</v>
      </c>
      <c r="AP37" t="s">
        <v>354</v>
      </c>
      <c r="AQ37">
        <v>2233782101</v>
      </c>
      <c r="BU37">
        <v>95.6</v>
      </c>
    </row>
    <row r="38" spans="1:73" x14ac:dyDescent="0.3">
      <c r="A38">
        <v>99041</v>
      </c>
      <c r="B38" t="s">
        <v>338</v>
      </c>
      <c r="C38" s="2">
        <v>44729.44494212963</v>
      </c>
      <c r="D38" t="s">
        <v>74</v>
      </c>
      <c r="E38" t="s">
        <v>183</v>
      </c>
      <c r="F38" t="s">
        <v>360</v>
      </c>
      <c r="G38" t="s">
        <v>77</v>
      </c>
      <c r="H38" t="s">
        <v>340</v>
      </c>
      <c r="I38" t="s">
        <v>361</v>
      </c>
      <c r="J38" t="s">
        <v>362</v>
      </c>
      <c r="K38">
        <v>4</v>
      </c>
      <c r="L38">
        <v>31371</v>
      </c>
      <c r="M38">
        <v>3000000</v>
      </c>
      <c r="N38">
        <v>192</v>
      </c>
      <c r="O38" t="s">
        <v>350</v>
      </c>
      <c r="P38" t="s">
        <v>340</v>
      </c>
      <c r="Q38">
        <v>1</v>
      </c>
      <c r="R38" t="s">
        <v>82</v>
      </c>
      <c r="S38" t="s">
        <v>363</v>
      </c>
      <c r="T38">
        <v>11024</v>
      </c>
      <c r="U38" t="s">
        <v>296</v>
      </c>
      <c r="W38" t="s">
        <v>360</v>
      </c>
      <c r="X38" t="s">
        <v>364</v>
      </c>
      <c r="Y38" t="s">
        <v>363</v>
      </c>
      <c r="Z38" t="s">
        <v>86</v>
      </c>
      <c r="AA38">
        <v>-735029.6</v>
      </c>
      <c r="AB38">
        <v>-1043873.16</v>
      </c>
      <c r="AC38">
        <v>14.53060382337989</v>
      </c>
      <c r="AD38">
        <v>50.089287327450009</v>
      </c>
      <c r="AE38" t="s">
        <v>365</v>
      </c>
      <c r="AF38">
        <v>731234</v>
      </c>
      <c r="AG38" t="s">
        <v>340</v>
      </c>
      <c r="AH38">
        <v>554782</v>
      </c>
      <c r="AI38" t="s">
        <v>88</v>
      </c>
      <c r="AK38" t="s">
        <v>77</v>
      </c>
      <c r="AL38">
        <v>19</v>
      </c>
      <c r="AM38" t="s">
        <v>77</v>
      </c>
      <c r="AN38" t="s">
        <v>89</v>
      </c>
      <c r="AO38" t="s">
        <v>346</v>
      </c>
      <c r="AP38" t="s">
        <v>360</v>
      </c>
      <c r="AQ38">
        <v>2233551101</v>
      </c>
      <c r="BU38">
        <v>95.6</v>
      </c>
    </row>
    <row r="39" spans="1:73" x14ac:dyDescent="0.3">
      <c r="A39">
        <v>31222</v>
      </c>
      <c r="B39" t="s">
        <v>366</v>
      </c>
      <c r="C39" s="2">
        <v>44699.62604166667</v>
      </c>
      <c r="D39" t="s">
        <v>74</v>
      </c>
      <c r="E39" t="s">
        <v>183</v>
      </c>
      <c r="F39" t="s">
        <v>367</v>
      </c>
      <c r="G39" t="s">
        <v>77</v>
      </c>
      <c r="H39" t="s">
        <v>276</v>
      </c>
      <c r="I39" t="s">
        <v>368</v>
      </c>
      <c r="J39" t="s">
        <v>369</v>
      </c>
      <c r="K39">
        <v>1</v>
      </c>
      <c r="L39">
        <v>6399</v>
      </c>
      <c r="M39">
        <v>469166</v>
      </c>
      <c r="N39">
        <v>608</v>
      </c>
      <c r="O39" t="s">
        <v>81</v>
      </c>
      <c r="P39" t="s">
        <v>276</v>
      </c>
      <c r="Q39">
        <v>1</v>
      </c>
      <c r="R39" t="s">
        <v>82</v>
      </c>
      <c r="S39" t="s">
        <v>370</v>
      </c>
      <c r="T39">
        <v>6399</v>
      </c>
      <c r="U39" t="s">
        <v>371</v>
      </c>
      <c r="W39" t="s">
        <v>367</v>
      </c>
      <c r="X39" t="s">
        <v>372</v>
      </c>
      <c r="Y39" t="s">
        <v>370</v>
      </c>
      <c r="Z39" t="s">
        <v>86</v>
      </c>
      <c r="AA39">
        <v>-736007.03</v>
      </c>
      <c r="AB39">
        <v>-1046457.21</v>
      </c>
      <c r="AC39">
        <v>14.521944156339311</v>
      </c>
      <c r="AD39">
        <v>50.065080364801659</v>
      </c>
      <c r="AE39" t="s">
        <v>373</v>
      </c>
      <c r="AF39">
        <v>732052</v>
      </c>
      <c r="AG39" t="s">
        <v>276</v>
      </c>
      <c r="AH39">
        <v>554782</v>
      </c>
      <c r="AI39" t="s">
        <v>88</v>
      </c>
      <c r="AK39" t="s">
        <v>77</v>
      </c>
      <c r="AL39">
        <v>19</v>
      </c>
      <c r="AM39" t="s">
        <v>77</v>
      </c>
      <c r="AN39" t="s">
        <v>89</v>
      </c>
      <c r="AO39" t="s">
        <v>299</v>
      </c>
      <c r="AP39" t="s">
        <v>367</v>
      </c>
      <c r="AQ39">
        <v>2913305101</v>
      </c>
      <c r="BU39">
        <v>73.3</v>
      </c>
    </row>
    <row r="40" spans="1:73" x14ac:dyDescent="0.3">
      <c r="A40">
        <v>31245</v>
      </c>
      <c r="B40" t="s">
        <v>374</v>
      </c>
      <c r="C40" s="2">
        <v>44699.62604166667</v>
      </c>
      <c r="D40" t="s">
        <v>74</v>
      </c>
      <c r="E40" t="s">
        <v>183</v>
      </c>
      <c r="F40" t="s">
        <v>367</v>
      </c>
      <c r="G40" t="s">
        <v>77</v>
      </c>
      <c r="H40" t="s">
        <v>276</v>
      </c>
      <c r="I40" t="s">
        <v>368</v>
      </c>
      <c r="J40" t="s">
        <v>369</v>
      </c>
      <c r="K40">
        <v>1</v>
      </c>
      <c r="L40">
        <v>6399</v>
      </c>
      <c r="M40">
        <v>469166</v>
      </c>
      <c r="N40">
        <v>608</v>
      </c>
      <c r="O40" t="s">
        <v>81</v>
      </c>
      <c r="P40" t="s">
        <v>276</v>
      </c>
      <c r="Q40">
        <v>1</v>
      </c>
      <c r="R40" t="s">
        <v>82</v>
      </c>
      <c r="S40" t="s">
        <v>370</v>
      </c>
      <c r="T40">
        <v>6399</v>
      </c>
      <c r="U40" t="s">
        <v>371</v>
      </c>
      <c r="W40" t="s">
        <v>367</v>
      </c>
      <c r="X40" t="s">
        <v>372</v>
      </c>
      <c r="Y40" t="s">
        <v>370</v>
      </c>
      <c r="Z40" t="s">
        <v>86</v>
      </c>
      <c r="AA40">
        <v>-736007.03</v>
      </c>
      <c r="AB40">
        <v>-1046457.21</v>
      </c>
      <c r="AC40">
        <v>14.521944156339311</v>
      </c>
      <c r="AD40">
        <v>50.065080364801659</v>
      </c>
      <c r="AE40" t="s">
        <v>373</v>
      </c>
      <c r="AF40">
        <v>732052</v>
      </c>
      <c r="AG40" t="s">
        <v>276</v>
      </c>
      <c r="AH40">
        <v>554782</v>
      </c>
      <c r="AI40" t="s">
        <v>88</v>
      </c>
      <c r="AK40" t="s">
        <v>77</v>
      </c>
      <c r="AL40">
        <v>19</v>
      </c>
      <c r="AM40" t="s">
        <v>77</v>
      </c>
      <c r="AN40" t="s">
        <v>89</v>
      </c>
      <c r="AO40" t="s">
        <v>299</v>
      </c>
      <c r="AP40" t="s">
        <v>367</v>
      </c>
      <c r="AQ40">
        <v>2913305101</v>
      </c>
      <c r="BU40">
        <v>73.3</v>
      </c>
    </row>
    <row r="49" spans="1:8" x14ac:dyDescent="0.3">
      <c r="A49" s="3" t="s">
        <v>375</v>
      </c>
      <c r="B49" s="3" t="s">
        <v>1</v>
      </c>
      <c r="C49" s="3" t="s">
        <v>5</v>
      </c>
      <c r="D49" s="3" t="s">
        <v>14</v>
      </c>
      <c r="E49" t="s">
        <v>399</v>
      </c>
      <c r="F49" t="s">
        <v>400</v>
      </c>
    </row>
    <row r="50" spans="1:8" x14ac:dyDescent="0.3">
      <c r="A50" s="4" t="s">
        <v>78</v>
      </c>
      <c r="B50" s="4" t="s">
        <v>73</v>
      </c>
      <c r="C50" s="4" t="s">
        <v>91</v>
      </c>
      <c r="D50" s="4" t="s">
        <v>94</v>
      </c>
      <c r="E50" s="6">
        <v>9091</v>
      </c>
      <c r="F50" s="5">
        <v>1036.5999999999999</v>
      </c>
      <c r="H50" t="str">
        <f>"("&amp;CHAR(34)&amp;"Praha"&amp;CHAR(34)&amp;", "&amp;CHAR(34)&amp;A50&amp;CHAR(34)&amp;", "&amp;CHAR(34)&amp;C50&amp;CHAR(34)&amp;", "&amp;CHAR(34)&amp;B50&amp;CHAR(34)&amp;", "&amp;CHAR(34)&amp;"JC = "&amp;TEXT(F50,"#?")&amp;" Kč/m2"&amp;CHAR(34)&amp;"),"</f>
        <v>("Praha", "Dejvice", "2204", "V-90981/2017-101", "JC = 1037 Kč/m2"),</v>
      </c>
    </row>
    <row r="51" spans="1:8" x14ac:dyDescent="0.3">
      <c r="A51" s="4" t="s">
        <v>78</v>
      </c>
      <c r="B51" s="4" t="s">
        <v>73</v>
      </c>
      <c r="C51" s="4" t="s">
        <v>76</v>
      </c>
      <c r="D51" s="4" t="s">
        <v>81</v>
      </c>
      <c r="E51" s="6">
        <v>11166</v>
      </c>
      <c r="F51" s="5">
        <v>1036.5999999999999</v>
      </c>
      <c r="H51" t="str">
        <f>"("&amp;CHAR(34)&amp;"Praha"&amp;CHAR(34)&amp;", "&amp;CHAR(34)&amp;A51&amp;CHAR(34)&amp;", "&amp;CHAR(34)&amp;C51&amp;CHAR(34)&amp;", "&amp;CHAR(34)&amp;B51&amp;CHAR(34)&amp;", "&amp;CHAR(34)&amp;"JC = "&amp;TEXT(F51,"#?")&amp;" Kč/m2"&amp;CHAR(34)&amp;"),"</f>
        <v>("Praha", "Dejvice", "2206/1", "V-90981/2017-101", "JC = 1037 Kč/m2"),</v>
      </c>
    </row>
    <row r="52" spans="1:8" x14ac:dyDescent="0.3">
      <c r="A52" s="4" t="s">
        <v>78</v>
      </c>
      <c r="B52" s="4" t="s">
        <v>377</v>
      </c>
      <c r="E52" s="6">
        <v>20257</v>
      </c>
      <c r="F52" s="5">
        <v>1036.5999999999999</v>
      </c>
    </row>
    <row r="53" spans="1:8" x14ac:dyDescent="0.3">
      <c r="A53" s="4" t="s">
        <v>390</v>
      </c>
      <c r="E53" s="6">
        <v>20257</v>
      </c>
      <c r="F53" s="5">
        <v>1036.5999999999999</v>
      </c>
    </row>
    <row r="54" spans="1:8" x14ac:dyDescent="0.3">
      <c r="A54" s="4" t="s">
        <v>340</v>
      </c>
      <c r="B54" s="4" t="s">
        <v>338</v>
      </c>
      <c r="C54" s="4" t="s">
        <v>339</v>
      </c>
      <c r="D54" s="4" t="s">
        <v>81</v>
      </c>
      <c r="E54" s="6">
        <v>18456</v>
      </c>
      <c r="F54" s="5">
        <v>192</v>
      </c>
      <c r="H54" t="str">
        <f t="shared" ref="H54:H57" si="0">"("&amp;CHAR(34)&amp;"Praha"&amp;CHAR(34)&amp;", "&amp;CHAR(34)&amp;A54&amp;CHAR(34)&amp;", "&amp;CHAR(34)&amp;C54&amp;CHAR(34)&amp;", "&amp;CHAR(34)&amp;B54&amp;CHAR(34)&amp;", "&amp;CHAR(34)&amp;"JC = "&amp;TEXT(F54,"#?")&amp;" Kč/m2"&amp;CHAR(34)&amp;"),"</f>
        <v>("Praha", "Hloubětín", "2447", "V-37726/2022-101", "JC = 192 Kč/m2"),</v>
      </c>
    </row>
    <row r="55" spans="1:8" x14ac:dyDescent="0.3">
      <c r="A55" s="4" t="s">
        <v>340</v>
      </c>
      <c r="B55" s="4" t="s">
        <v>338</v>
      </c>
      <c r="C55" s="4" t="s">
        <v>360</v>
      </c>
      <c r="D55" s="4" t="s">
        <v>350</v>
      </c>
      <c r="E55" s="6">
        <v>11024</v>
      </c>
      <c r="F55" s="5">
        <v>192</v>
      </c>
      <c r="H55" t="str">
        <f t="shared" si="0"/>
        <v>("Praha", "Hloubětín", "2452", "V-37726/2022-101", "JC = 192 Kč/m2"),</v>
      </c>
    </row>
    <row r="56" spans="1:8" x14ac:dyDescent="0.3">
      <c r="A56" s="4" t="s">
        <v>340</v>
      </c>
      <c r="B56" s="4" t="s">
        <v>338</v>
      </c>
      <c r="C56" s="4" t="s">
        <v>354</v>
      </c>
      <c r="D56" s="4" t="s">
        <v>81</v>
      </c>
      <c r="E56" s="6">
        <v>1146</v>
      </c>
      <c r="F56" s="5">
        <v>192</v>
      </c>
      <c r="H56" t="str">
        <f t="shared" si="0"/>
        <v>("Praha", "Hloubětín", "2627", "V-37726/2022-101", "JC = 192 Kč/m2"),</v>
      </c>
    </row>
    <row r="57" spans="1:8" x14ac:dyDescent="0.3">
      <c r="A57" s="4" t="s">
        <v>340</v>
      </c>
      <c r="B57" s="4" t="s">
        <v>338</v>
      </c>
      <c r="C57" s="4" t="s">
        <v>347</v>
      </c>
      <c r="D57" s="4" t="s">
        <v>350</v>
      </c>
      <c r="E57" s="6">
        <v>745</v>
      </c>
      <c r="F57" s="5">
        <v>192</v>
      </c>
      <c r="H57" t="str">
        <f t="shared" si="0"/>
        <v>("Praha", "Hloubětín", "2628", "V-37726/2022-101", "JC = 192 Kč/m2"),</v>
      </c>
    </row>
    <row r="58" spans="1:8" x14ac:dyDescent="0.3">
      <c r="A58" s="4" t="s">
        <v>340</v>
      </c>
      <c r="B58" s="4" t="s">
        <v>378</v>
      </c>
      <c r="E58" s="6">
        <v>31371</v>
      </c>
      <c r="F58" s="5">
        <v>192</v>
      </c>
    </row>
    <row r="59" spans="1:8" x14ac:dyDescent="0.3">
      <c r="A59" s="4" t="s">
        <v>391</v>
      </c>
      <c r="E59" s="6">
        <v>31371</v>
      </c>
      <c r="F59" s="5">
        <v>192</v>
      </c>
    </row>
    <row r="60" spans="1:8" x14ac:dyDescent="0.3">
      <c r="A60" s="4" t="s">
        <v>101</v>
      </c>
      <c r="B60" s="4" t="s">
        <v>249</v>
      </c>
      <c r="C60" s="4" t="s">
        <v>266</v>
      </c>
      <c r="D60" s="4" t="s">
        <v>81</v>
      </c>
      <c r="E60" s="6">
        <v>4457</v>
      </c>
      <c r="F60" s="5">
        <v>133.1</v>
      </c>
      <c r="H60" t="str">
        <f t="shared" ref="H60:H62" si="1">"("&amp;CHAR(34)&amp;"Praha"&amp;CHAR(34)&amp;", "&amp;CHAR(34)&amp;A60&amp;CHAR(34)&amp;", "&amp;CHAR(34)&amp;C60&amp;CHAR(34)&amp;", "&amp;CHAR(34)&amp;B60&amp;CHAR(34)&amp;", "&amp;CHAR(34)&amp;"JC = "&amp;TEXT(F60,"#?")&amp;" Kč/m2"&amp;CHAR(34)&amp;"),"</f>
        <v>("Praha", "Horní Počernice", "228/1", "V-69847/2023-101", "JC = 133 Kč/m2"),</v>
      </c>
    </row>
    <row r="61" spans="1:8" x14ac:dyDescent="0.3">
      <c r="A61" s="4" t="s">
        <v>101</v>
      </c>
      <c r="B61" s="4" t="s">
        <v>249</v>
      </c>
      <c r="C61" s="4" t="s">
        <v>260</v>
      </c>
      <c r="D61" s="4" t="s">
        <v>194</v>
      </c>
      <c r="E61" s="6">
        <v>6606</v>
      </c>
      <c r="F61" s="5">
        <v>133.1</v>
      </c>
      <c r="H61" t="str">
        <f t="shared" si="1"/>
        <v>("Praha", "Horní Počernice", "4417/1", "V-69847/2023-101", "JC = 133 Kč/m2"),</v>
      </c>
    </row>
    <row r="62" spans="1:8" x14ac:dyDescent="0.3">
      <c r="A62" s="4" t="s">
        <v>101</v>
      </c>
      <c r="B62" s="4" t="s">
        <v>249</v>
      </c>
      <c r="C62" s="4" t="s">
        <v>250</v>
      </c>
      <c r="D62" s="4" t="s">
        <v>253</v>
      </c>
      <c r="E62" s="6">
        <v>950</v>
      </c>
      <c r="F62" s="5">
        <v>133.1</v>
      </c>
      <c r="H62" t="str">
        <f t="shared" si="1"/>
        <v>("Praha", "Horní Počernice", "906/15", "V-69847/2023-101", "JC = 133 Kč/m2"),</v>
      </c>
    </row>
    <row r="63" spans="1:8" x14ac:dyDescent="0.3">
      <c r="A63" s="4" t="s">
        <v>101</v>
      </c>
      <c r="B63" s="4" t="s">
        <v>379</v>
      </c>
      <c r="E63" s="6">
        <v>12013</v>
      </c>
      <c r="F63" s="5">
        <v>133.1</v>
      </c>
    </row>
    <row r="64" spans="1:8" x14ac:dyDescent="0.3">
      <c r="A64" s="4" t="s">
        <v>101</v>
      </c>
      <c r="B64" s="4" t="s">
        <v>98</v>
      </c>
      <c r="C64" s="4" t="s">
        <v>100</v>
      </c>
      <c r="D64" s="4" t="s">
        <v>81</v>
      </c>
      <c r="E64" s="6">
        <v>7740</v>
      </c>
      <c r="F64" s="5">
        <v>497.4</v>
      </c>
      <c r="H64" t="str">
        <f>"("&amp;CHAR(34)&amp;"Praha"&amp;CHAR(34)&amp;", "&amp;CHAR(34)&amp;A64&amp;CHAR(34)&amp;", "&amp;CHAR(34)&amp;C64&amp;CHAR(34)&amp;", "&amp;CHAR(34)&amp;B64&amp;CHAR(34)&amp;", "&amp;CHAR(34)&amp;"JC = "&amp;TEXT(F64,"#?")&amp;" Kč/m2"&amp;CHAR(34)&amp;"),"</f>
        <v>("Praha", "Horní Počernice", "3967", "V-74360/2024-101", "JC = 497 Kč/m2"),</v>
      </c>
    </row>
    <row r="65" spans="1:8" x14ac:dyDescent="0.3">
      <c r="A65" s="4" t="s">
        <v>101</v>
      </c>
      <c r="B65" s="4" t="s">
        <v>380</v>
      </c>
      <c r="E65" s="6">
        <v>7740</v>
      </c>
      <c r="F65" s="5">
        <v>497.4</v>
      </c>
    </row>
    <row r="66" spans="1:8" x14ac:dyDescent="0.3">
      <c r="A66" s="4" t="s">
        <v>392</v>
      </c>
      <c r="E66" s="6">
        <v>19753</v>
      </c>
      <c r="F66" s="5">
        <v>224.17499999999998</v>
      </c>
    </row>
    <row r="67" spans="1:8" x14ac:dyDescent="0.3">
      <c r="A67" s="4" t="s">
        <v>276</v>
      </c>
      <c r="B67" s="4" t="s">
        <v>374</v>
      </c>
      <c r="C67" s="4" t="s">
        <v>367</v>
      </c>
      <c r="D67" s="4" t="s">
        <v>81</v>
      </c>
      <c r="E67" s="6">
        <v>6399</v>
      </c>
      <c r="F67" s="5">
        <v>608</v>
      </c>
      <c r="H67" t="str">
        <f>"("&amp;CHAR(34)&amp;"Praha"&amp;CHAR(34)&amp;", "&amp;CHAR(34)&amp;A67&amp;CHAR(34)&amp;", "&amp;CHAR(34)&amp;C67&amp;CHAR(34)&amp;", "&amp;CHAR(34)&amp;B67&amp;CHAR(34)&amp;", "&amp;CHAR(34)&amp;"JC = "&amp;TEXT(F67,"#?")&amp;" Kč/m2"&amp;CHAR(34)&amp;"),"</f>
        <v>("Praha", "Hostivař", "1714/3", "V-31225/2022-101", "JC = 608 Kč/m2"),</v>
      </c>
    </row>
    <row r="68" spans="1:8" x14ac:dyDescent="0.3">
      <c r="A68" s="4" t="s">
        <v>276</v>
      </c>
      <c r="B68" s="4" t="s">
        <v>381</v>
      </c>
      <c r="E68" s="6">
        <v>6399</v>
      </c>
      <c r="F68" s="5">
        <v>608</v>
      </c>
    </row>
    <row r="69" spans="1:8" x14ac:dyDescent="0.3">
      <c r="A69" s="4" t="s">
        <v>276</v>
      </c>
      <c r="B69" s="4" t="s">
        <v>366</v>
      </c>
      <c r="C69" s="4" t="s">
        <v>367</v>
      </c>
      <c r="D69" s="4" t="s">
        <v>81</v>
      </c>
      <c r="E69" s="6">
        <v>6399</v>
      </c>
      <c r="F69" s="5">
        <v>608</v>
      </c>
      <c r="H69" t="str">
        <f>"("&amp;CHAR(34)&amp;"Praha"&amp;CHAR(34)&amp;", "&amp;CHAR(34)&amp;A69&amp;CHAR(34)&amp;", "&amp;CHAR(34)&amp;C69&amp;CHAR(34)&amp;", "&amp;CHAR(34)&amp;B69&amp;CHAR(34)&amp;", "&amp;CHAR(34)&amp;"JC = "&amp;TEXT(F69,"#?")&amp;" Kč/m2"&amp;CHAR(34)&amp;"),"</f>
        <v>("Praha", "Hostivař", "1714/3", "V-31226/2022-101", "JC = 608 Kč/m2"),</v>
      </c>
    </row>
    <row r="70" spans="1:8" x14ac:dyDescent="0.3">
      <c r="A70" s="4" t="s">
        <v>276</v>
      </c>
      <c r="B70" s="4" t="s">
        <v>382</v>
      </c>
      <c r="E70" s="6">
        <v>6399</v>
      </c>
      <c r="F70" s="5">
        <v>608</v>
      </c>
    </row>
    <row r="71" spans="1:8" x14ac:dyDescent="0.3">
      <c r="A71" s="4" t="s">
        <v>276</v>
      </c>
      <c r="B71" s="4" t="s">
        <v>274</v>
      </c>
      <c r="C71" s="4" t="s">
        <v>291</v>
      </c>
      <c r="D71" s="4" t="s">
        <v>294</v>
      </c>
      <c r="E71" s="6">
        <v>8843</v>
      </c>
      <c r="F71" s="5">
        <v>101.9</v>
      </c>
      <c r="H71" t="str">
        <f t="shared" ref="H71:H79" si="2">"("&amp;CHAR(34)&amp;"Praha"&amp;CHAR(34)&amp;", "&amp;CHAR(34)&amp;A71&amp;CHAR(34)&amp;", "&amp;CHAR(34)&amp;C71&amp;CHAR(34)&amp;", "&amp;CHAR(34)&amp;B71&amp;CHAR(34)&amp;", "&amp;CHAR(34)&amp;"JC = "&amp;TEXT(F71,"#?")&amp;" Kč/m2"&amp;CHAR(34)&amp;"),"</f>
        <v>("Praha", "Hostivař", "2365/1", "V-75546/2024-101", "JC = 102 Kč/m2"),</v>
      </c>
    </row>
    <row r="72" spans="1:8" x14ac:dyDescent="0.3">
      <c r="A72" s="4" t="s">
        <v>276</v>
      </c>
      <c r="B72" s="4" t="s">
        <v>274</v>
      </c>
      <c r="C72" s="4" t="s">
        <v>312</v>
      </c>
      <c r="D72" s="4" t="s">
        <v>81</v>
      </c>
      <c r="E72" s="6">
        <v>1076</v>
      </c>
      <c r="F72" s="5">
        <v>101.9</v>
      </c>
      <c r="H72" t="str">
        <f t="shared" si="2"/>
        <v>("Praha", "Hostivař", "2365/3", "V-75546/2024-101", "JC = 102 Kč/m2"),</v>
      </c>
    </row>
    <row r="73" spans="1:8" x14ac:dyDescent="0.3">
      <c r="A73" s="4" t="s">
        <v>276</v>
      </c>
      <c r="B73" s="4" t="s">
        <v>274</v>
      </c>
      <c r="C73" s="4" t="s">
        <v>306</v>
      </c>
      <c r="D73" s="4" t="s">
        <v>139</v>
      </c>
      <c r="E73" s="6">
        <v>5904</v>
      </c>
      <c r="F73" s="5">
        <v>101.9</v>
      </c>
      <c r="H73" t="str">
        <f t="shared" si="2"/>
        <v>("Praha", "Hostivař", "2366", "V-75546/2024-101", "JC = 102 Kč/m2"),</v>
      </c>
    </row>
    <row r="74" spans="1:8" x14ac:dyDescent="0.3">
      <c r="A74" s="4" t="s">
        <v>276</v>
      </c>
      <c r="B74" s="4" t="s">
        <v>274</v>
      </c>
      <c r="C74" s="4" t="s">
        <v>285</v>
      </c>
      <c r="D74" s="4" t="s">
        <v>139</v>
      </c>
      <c r="E74" s="6">
        <v>25</v>
      </c>
      <c r="F74" s="5">
        <v>101.9</v>
      </c>
      <c r="H74" t="str">
        <f t="shared" si="2"/>
        <v>("Praha", "Hostivař", "514/2", "V-75546/2024-101", "JC = 102 Kč/m2"),</v>
      </c>
    </row>
    <row r="75" spans="1:8" x14ac:dyDescent="0.3">
      <c r="A75" s="4" t="s">
        <v>276</v>
      </c>
      <c r="B75" s="4" t="s">
        <v>274</v>
      </c>
      <c r="C75" s="4" t="s">
        <v>318</v>
      </c>
      <c r="D75" s="4" t="s">
        <v>139</v>
      </c>
      <c r="E75" s="6">
        <v>14</v>
      </c>
      <c r="F75" s="5">
        <v>101.9</v>
      </c>
      <c r="H75" t="str">
        <f t="shared" si="2"/>
        <v>("Praha", "Hostivař", "514/3", "V-75546/2024-101", "JC = 102 Kč/m2"),</v>
      </c>
    </row>
    <row r="76" spans="1:8" x14ac:dyDescent="0.3">
      <c r="A76" s="4" t="s">
        <v>276</v>
      </c>
      <c r="B76" s="4" t="s">
        <v>274</v>
      </c>
      <c r="C76" s="4" t="s">
        <v>324</v>
      </c>
      <c r="D76" s="4" t="s">
        <v>139</v>
      </c>
      <c r="E76" s="6">
        <v>41</v>
      </c>
      <c r="F76" s="5">
        <v>101.9</v>
      </c>
      <c r="H76" t="str">
        <f t="shared" si="2"/>
        <v>("Praha", "Hostivař", "514/4", "V-75546/2024-101", "JC = 102 Kč/m2"),</v>
      </c>
    </row>
    <row r="77" spans="1:8" x14ac:dyDescent="0.3">
      <c r="A77" s="4" t="s">
        <v>276</v>
      </c>
      <c r="B77" s="4" t="s">
        <v>274</v>
      </c>
      <c r="C77" s="4" t="s">
        <v>300</v>
      </c>
      <c r="D77" s="4" t="s">
        <v>139</v>
      </c>
      <c r="E77" s="6">
        <v>43</v>
      </c>
      <c r="F77" s="5">
        <v>101.9</v>
      </c>
      <c r="H77" t="str">
        <f t="shared" si="2"/>
        <v>("Praha", "Hostivař", "514/5", "V-75546/2024-101", "JC = 102 Kč/m2"),</v>
      </c>
    </row>
    <row r="78" spans="1:8" x14ac:dyDescent="0.3">
      <c r="A78" s="4" t="s">
        <v>276</v>
      </c>
      <c r="B78" s="4" t="s">
        <v>274</v>
      </c>
      <c r="C78" s="4" t="s">
        <v>275</v>
      </c>
      <c r="D78" s="4" t="s">
        <v>139</v>
      </c>
      <c r="E78" s="6">
        <v>7</v>
      </c>
      <c r="F78" s="5">
        <v>101.9</v>
      </c>
      <c r="H78" t="str">
        <f t="shared" si="2"/>
        <v>("Praha", "Hostivař", "514/6", "V-75546/2024-101", "JC = 102 Kč/m2"),</v>
      </c>
    </row>
    <row r="79" spans="1:8" x14ac:dyDescent="0.3">
      <c r="A79" s="4" t="s">
        <v>276</v>
      </c>
      <c r="B79" s="4" t="s">
        <v>274</v>
      </c>
      <c r="C79" s="4" t="s">
        <v>330</v>
      </c>
      <c r="D79" s="4" t="s">
        <v>81</v>
      </c>
      <c r="E79" s="6">
        <v>9044</v>
      </c>
      <c r="F79" s="5">
        <v>101.9</v>
      </c>
      <c r="H79" t="str">
        <f t="shared" si="2"/>
        <v>("Praha", "Hostivař", "537/41", "V-75546/2024-101", "JC = 102 Kč/m2"),</v>
      </c>
    </row>
    <row r="80" spans="1:8" x14ac:dyDescent="0.3">
      <c r="A80" s="4" t="s">
        <v>276</v>
      </c>
      <c r="B80" s="4" t="s">
        <v>383</v>
      </c>
      <c r="E80" s="6">
        <v>24997</v>
      </c>
      <c r="F80" s="5">
        <v>101.89999999999999</v>
      </c>
    </row>
    <row r="81" spans="1:8" x14ac:dyDescent="0.3">
      <c r="A81" s="4" t="s">
        <v>393</v>
      </c>
      <c r="E81" s="6">
        <v>37795</v>
      </c>
      <c r="F81" s="5">
        <v>193.91818181818189</v>
      </c>
    </row>
    <row r="82" spans="1:8" x14ac:dyDescent="0.3">
      <c r="A82" s="4" t="s">
        <v>241</v>
      </c>
      <c r="B82" s="4" t="s">
        <v>239</v>
      </c>
      <c r="C82" s="4" t="s">
        <v>240</v>
      </c>
      <c r="D82" s="4" t="s">
        <v>81</v>
      </c>
      <c r="E82" s="6">
        <v>10824</v>
      </c>
      <c r="F82" s="5">
        <v>159</v>
      </c>
      <c r="H82" t="str">
        <f>"("&amp;CHAR(34)&amp;"Praha"&amp;CHAR(34)&amp;", "&amp;CHAR(34)&amp;A82&amp;CHAR(34)&amp;", "&amp;CHAR(34)&amp;C82&amp;CHAR(34)&amp;", "&amp;CHAR(34)&amp;B82&amp;CHAR(34)&amp;", "&amp;CHAR(34)&amp;"JC = "&amp;TEXT(F82,"#?")&amp;" Kč/m2"&amp;CHAR(34)&amp;"),"</f>
        <v>("Praha", "Kunratice", "2340/1", "V-198/2022-101", "JC = 159 Kč/m2"),</v>
      </c>
    </row>
    <row r="83" spans="1:8" x14ac:dyDescent="0.3">
      <c r="A83" s="4" t="s">
        <v>241</v>
      </c>
      <c r="B83" s="4" t="s">
        <v>384</v>
      </c>
      <c r="E83" s="6">
        <v>10824</v>
      </c>
      <c r="F83" s="5">
        <v>159</v>
      </c>
    </row>
    <row r="84" spans="1:8" x14ac:dyDescent="0.3">
      <c r="A84" s="4" t="s">
        <v>394</v>
      </c>
      <c r="E84" s="6">
        <v>10824</v>
      </c>
      <c r="F84" s="5">
        <v>159</v>
      </c>
    </row>
    <row r="85" spans="1:8" x14ac:dyDescent="0.3">
      <c r="A85" s="4" t="s">
        <v>207</v>
      </c>
      <c r="B85" s="4" t="s">
        <v>205</v>
      </c>
      <c r="C85" s="4" t="s">
        <v>227</v>
      </c>
      <c r="D85" s="4" t="s">
        <v>81</v>
      </c>
      <c r="E85" s="6">
        <v>4326</v>
      </c>
      <c r="F85" s="5">
        <v>159</v>
      </c>
      <c r="H85" t="str">
        <f t="shared" ref="H85:H89" si="3">"("&amp;CHAR(34)&amp;"Praha"&amp;CHAR(34)&amp;", "&amp;CHAR(34)&amp;A85&amp;CHAR(34)&amp;", "&amp;CHAR(34)&amp;C85&amp;CHAR(34)&amp;", "&amp;CHAR(34)&amp;B85&amp;CHAR(34)&amp;", "&amp;CHAR(34)&amp;"JC = "&amp;TEXT(F85,"#?")&amp;" Kč/m2"&amp;CHAR(34)&amp;"),"</f>
        <v>("Praha", "Ruzyně", "1364", "V-59949/2021-101", "JC = 159 Kč/m2"),</v>
      </c>
    </row>
    <row r="86" spans="1:8" x14ac:dyDescent="0.3">
      <c r="A86" s="4" t="s">
        <v>207</v>
      </c>
      <c r="B86" s="4" t="s">
        <v>205</v>
      </c>
      <c r="C86" s="4" t="s">
        <v>206</v>
      </c>
      <c r="D86" s="4" t="s">
        <v>139</v>
      </c>
      <c r="E86" s="6">
        <v>210</v>
      </c>
      <c r="F86" s="5">
        <v>159</v>
      </c>
      <c r="H86" t="str">
        <f t="shared" si="3"/>
        <v>("Praha", "Ruzyně", "1365", "V-59949/2021-101", "JC = 159 Kč/m2"),</v>
      </c>
    </row>
    <row r="87" spans="1:8" x14ac:dyDescent="0.3">
      <c r="A87" s="4" t="s">
        <v>207</v>
      </c>
      <c r="B87" s="4" t="s">
        <v>205</v>
      </c>
      <c r="C87" s="4" t="s">
        <v>221</v>
      </c>
      <c r="D87" s="4" t="s">
        <v>139</v>
      </c>
      <c r="E87" s="6">
        <v>3583</v>
      </c>
      <c r="F87" s="5">
        <v>159</v>
      </c>
      <c r="H87" t="str">
        <f t="shared" si="3"/>
        <v>("Praha", "Ruzyně", "1366", "V-59949/2021-101", "JC = 159 Kč/m2"),</v>
      </c>
    </row>
    <row r="88" spans="1:8" x14ac:dyDescent="0.3">
      <c r="A88" s="4" t="s">
        <v>207</v>
      </c>
      <c r="B88" s="4" t="s">
        <v>205</v>
      </c>
      <c r="C88" s="4" t="s">
        <v>233</v>
      </c>
      <c r="D88" s="4" t="s">
        <v>139</v>
      </c>
      <c r="E88" s="6">
        <v>186</v>
      </c>
      <c r="F88" s="5">
        <v>159</v>
      </c>
      <c r="H88" t="str">
        <f t="shared" si="3"/>
        <v>("Praha", "Ruzyně", "1367", "V-59949/2021-101", "JC = 159 Kč/m2"),</v>
      </c>
    </row>
    <row r="89" spans="1:8" x14ac:dyDescent="0.3">
      <c r="A89" s="4" t="s">
        <v>207</v>
      </c>
      <c r="B89" s="4" t="s">
        <v>205</v>
      </c>
      <c r="C89" s="4" t="s">
        <v>215</v>
      </c>
      <c r="D89" s="4" t="s">
        <v>139</v>
      </c>
      <c r="E89" s="6">
        <v>11336</v>
      </c>
      <c r="F89" s="5">
        <v>159</v>
      </c>
      <c r="H89" t="str">
        <f t="shared" si="3"/>
        <v>("Praha", "Ruzyně", "1368", "V-59949/2021-101", "JC = 159 Kč/m2"),</v>
      </c>
    </row>
    <row r="90" spans="1:8" x14ac:dyDescent="0.3">
      <c r="A90" s="4" t="s">
        <v>207</v>
      </c>
      <c r="B90" s="4" t="s">
        <v>385</v>
      </c>
      <c r="E90" s="6">
        <v>19641</v>
      </c>
      <c r="F90" s="5">
        <v>159</v>
      </c>
    </row>
    <row r="91" spans="1:8" x14ac:dyDescent="0.3">
      <c r="A91" s="4" t="s">
        <v>395</v>
      </c>
      <c r="E91" s="6">
        <v>19641</v>
      </c>
      <c r="F91" s="5">
        <v>159</v>
      </c>
    </row>
    <row r="92" spans="1:8" x14ac:dyDescent="0.3">
      <c r="A92" s="4" t="s">
        <v>112</v>
      </c>
      <c r="B92" s="4" t="s">
        <v>109</v>
      </c>
      <c r="C92" s="4" t="s">
        <v>120</v>
      </c>
      <c r="D92" s="4" t="s">
        <v>81</v>
      </c>
      <c r="E92" s="6">
        <v>6985</v>
      </c>
      <c r="F92" s="5">
        <v>415</v>
      </c>
      <c r="H92" t="str">
        <f t="shared" ref="H92:H94" si="4">"("&amp;CHAR(34)&amp;"Praha"&amp;CHAR(34)&amp;", "&amp;CHAR(34)&amp;A92&amp;CHAR(34)&amp;", "&amp;CHAR(34)&amp;C92&amp;CHAR(34)&amp;", "&amp;CHAR(34)&amp;B92&amp;CHAR(34)&amp;", "&amp;CHAR(34)&amp;"JC = "&amp;TEXT(F92,"#?")&amp;" Kč/m2"&amp;CHAR(34)&amp;"),"</f>
        <v>("Praha", "Strašnice", "4089/1", "V-20063/2024-101", "JC = 415 Kč/m2"),</v>
      </c>
    </row>
    <row r="93" spans="1:8" x14ac:dyDescent="0.3">
      <c r="A93" s="4" t="s">
        <v>112</v>
      </c>
      <c r="B93" s="4" t="s">
        <v>109</v>
      </c>
      <c r="C93" s="4" t="s">
        <v>128</v>
      </c>
      <c r="D93" s="4" t="s">
        <v>81</v>
      </c>
      <c r="E93" s="6">
        <v>4761</v>
      </c>
      <c r="F93" s="5">
        <v>415</v>
      </c>
      <c r="H93" t="str">
        <f t="shared" si="4"/>
        <v>("Praha", "Strašnice", "4091/1", "V-20063/2024-101", "JC = 415 Kč/m2"),</v>
      </c>
    </row>
    <row r="94" spans="1:8" x14ac:dyDescent="0.3">
      <c r="A94" s="4" t="s">
        <v>112</v>
      </c>
      <c r="B94" s="4" t="s">
        <v>109</v>
      </c>
      <c r="C94" s="4" t="s">
        <v>111</v>
      </c>
      <c r="D94" s="4" t="s">
        <v>81</v>
      </c>
      <c r="E94" s="6">
        <v>5336</v>
      </c>
      <c r="F94" s="5">
        <v>415</v>
      </c>
      <c r="H94" t="str">
        <f t="shared" si="4"/>
        <v>("Praha", "Strašnice", "4095/1", "V-20063/2024-101", "JC = 415 Kč/m2"),</v>
      </c>
    </row>
    <row r="95" spans="1:8" x14ac:dyDescent="0.3">
      <c r="A95" s="4" t="s">
        <v>112</v>
      </c>
      <c r="B95" s="4" t="s">
        <v>386</v>
      </c>
      <c r="E95" s="6">
        <v>17082</v>
      </c>
      <c r="F95" s="5">
        <v>415</v>
      </c>
    </row>
    <row r="96" spans="1:8" x14ac:dyDescent="0.3">
      <c r="A96" s="4" t="s">
        <v>112</v>
      </c>
      <c r="B96" s="4" t="s">
        <v>164</v>
      </c>
      <c r="C96" s="4" t="s">
        <v>165</v>
      </c>
      <c r="D96" s="4" t="s">
        <v>81</v>
      </c>
      <c r="E96" s="6">
        <v>5367</v>
      </c>
      <c r="F96" s="5">
        <v>319</v>
      </c>
      <c r="H96" t="str">
        <f>"("&amp;CHAR(34)&amp;"Praha"&amp;CHAR(34)&amp;", "&amp;CHAR(34)&amp;A96&amp;CHAR(34)&amp;", "&amp;CHAR(34)&amp;C96&amp;CHAR(34)&amp;", "&amp;CHAR(34)&amp;B96&amp;CHAR(34)&amp;", "&amp;CHAR(34)&amp;"JC = "&amp;TEXT(F96,"#?")&amp;" Kč/m2"&amp;CHAR(34)&amp;"),"</f>
        <v>("Praha", "Strašnice", "4092/3", "V-53551/2025-101", "JC = 319 Kč/m2"),</v>
      </c>
    </row>
    <row r="97" spans="1:8" x14ac:dyDescent="0.3">
      <c r="A97" s="4" t="s">
        <v>112</v>
      </c>
      <c r="B97" s="4" t="s">
        <v>387</v>
      </c>
      <c r="E97" s="6">
        <v>5367</v>
      </c>
      <c r="F97" s="5">
        <v>319</v>
      </c>
    </row>
    <row r="98" spans="1:8" x14ac:dyDescent="0.3">
      <c r="A98" s="4" t="s">
        <v>396</v>
      </c>
      <c r="E98" s="6">
        <v>22449</v>
      </c>
      <c r="F98" s="5">
        <v>391</v>
      </c>
    </row>
    <row r="99" spans="1:8" x14ac:dyDescent="0.3">
      <c r="A99" s="4" t="s">
        <v>174</v>
      </c>
      <c r="B99" s="4" t="s">
        <v>171</v>
      </c>
      <c r="C99" s="4" t="s">
        <v>184</v>
      </c>
      <c r="D99" s="4" t="s">
        <v>81</v>
      </c>
      <c r="E99" s="6">
        <v>36832</v>
      </c>
      <c r="F99" s="5">
        <v>216</v>
      </c>
      <c r="H99" t="str">
        <f t="shared" ref="H99:H102" si="5">"("&amp;CHAR(34)&amp;"Praha"&amp;CHAR(34)&amp;", "&amp;CHAR(34)&amp;A99&amp;CHAR(34)&amp;", "&amp;CHAR(34)&amp;C99&amp;CHAR(34)&amp;", "&amp;CHAR(34)&amp;B99&amp;CHAR(34)&amp;", "&amp;CHAR(34)&amp;"JC = "&amp;TEXT(F99,"#?")&amp;" Kč/m2"&amp;CHAR(34)&amp;"),"</f>
        <v>("Praha", "Šeberov", "1401/106", "V-24012/2025-101", "JC = 216 Kč/m2"),</v>
      </c>
    </row>
    <row r="100" spans="1:8" x14ac:dyDescent="0.3">
      <c r="A100" s="4" t="s">
        <v>174</v>
      </c>
      <c r="B100" s="4" t="s">
        <v>171</v>
      </c>
      <c r="C100" s="4" t="s">
        <v>191</v>
      </c>
      <c r="D100" s="4" t="s">
        <v>194</v>
      </c>
      <c r="E100" s="6">
        <v>57</v>
      </c>
      <c r="F100" s="5">
        <v>216</v>
      </c>
      <c r="H100" t="str">
        <f t="shared" si="5"/>
        <v>("Praha", "Šeberov", "1409/4", "V-24012/2025-101", "JC = 216 Kč/m2"),</v>
      </c>
    </row>
    <row r="101" spans="1:8" x14ac:dyDescent="0.3">
      <c r="A101" s="4" t="s">
        <v>174</v>
      </c>
      <c r="B101" s="4" t="s">
        <v>171</v>
      </c>
      <c r="C101" s="4" t="s">
        <v>199</v>
      </c>
      <c r="D101" s="4" t="s">
        <v>194</v>
      </c>
      <c r="E101" s="6">
        <v>18</v>
      </c>
      <c r="F101" s="5">
        <v>216</v>
      </c>
      <c r="H101" t="str">
        <f t="shared" si="5"/>
        <v>("Praha", "Šeberov", "1409/5", "V-24012/2025-101", "JC = 216 Kč/m2"),</v>
      </c>
    </row>
    <row r="102" spans="1:8" x14ac:dyDescent="0.3">
      <c r="A102" s="4" t="s">
        <v>174</v>
      </c>
      <c r="B102" s="4" t="s">
        <v>171</v>
      </c>
      <c r="C102" s="4" t="s">
        <v>173</v>
      </c>
      <c r="D102" s="4" t="s">
        <v>177</v>
      </c>
      <c r="E102" s="6">
        <v>1054</v>
      </c>
      <c r="F102" s="5">
        <v>216</v>
      </c>
      <c r="H102" t="str">
        <f t="shared" si="5"/>
        <v>("Praha", "Šeberov", "718/9", "V-24012/2025-101", "JC = 216 Kč/m2"),</v>
      </c>
    </row>
    <row r="103" spans="1:8" x14ac:dyDescent="0.3">
      <c r="A103" s="4" t="s">
        <v>174</v>
      </c>
      <c r="B103" s="4" t="s">
        <v>388</v>
      </c>
      <c r="E103" s="6">
        <v>37961</v>
      </c>
      <c r="F103" s="5">
        <v>216</v>
      </c>
    </row>
    <row r="104" spans="1:8" x14ac:dyDescent="0.3">
      <c r="A104" s="4" t="s">
        <v>397</v>
      </c>
      <c r="E104" s="6">
        <v>37961</v>
      </c>
      <c r="F104" s="5">
        <v>216</v>
      </c>
    </row>
    <row r="105" spans="1:8" x14ac:dyDescent="0.3">
      <c r="A105" s="4" t="s">
        <v>136</v>
      </c>
      <c r="B105" s="4" t="s">
        <v>134</v>
      </c>
      <c r="C105" s="4" t="s">
        <v>135</v>
      </c>
      <c r="D105" s="4" t="s">
        <v>139</v>
      </c>
      <c r="E105" s="6">
        <v>111</v>
      </c>
      <c r="F105" s="5">
        <v>365.2</v>
      </c>
      <c r="H105" t="str">
        <f t="shared" ref="H105:H108" si="6">"("&amp;CHAR(34)&amp;"Praha"&amp;CHAR(34)&amp;", "&amp;CHAR(34)&amp;A105&amp;CHAR(34)&amp;", "&amp;CHAR(34)&amp;C105&amp;CHAR(34)&amp;", "&amp;CHAR(34)&amp;B105&amp;CHAR(34)&amp;", "&amp;CHAR(34)&amp;"JC = "&amp;TEXT(F105,"#?")&amp;" Kč/m2"&amp;CHAR(34)&amp;"),"</f>
        <v>("Praha", "Vokovice", "1092", "V-31151/2024-101", "JC = 365 Kč/m2"),</v>
      </c>
    </row>
    <row r="106" spans="1:8" x14ac:dyDescent="0.3">
      <c r="A106" s="4" t="s">
        <v>136</v>
      </c>
      <c r="B106" s="4" t="s">
        <v>134</v>
      </c>
      <c r="C106" s="4" t="s">
        <v>152</v>
      </c>
      <c r="D106" s="4" t="s">
        <v>81</v>
      </c>
      <c r="E106" s="6">
        <v>5967</v>
      </c>
      <c r="F106" s="5">
        <v>365.2</v>
      </c>
      <c r="H106" t="str">
        <f t="shared" si="6"/>
        <v>("Praha", "Vokovice", "695/1", "V-31151/2024-101", "JC = 365 Kč/m2"),</v>
      </c>
    </row>
    <row r="107" spans="1:8" x14ac:dyDescent="0.3">
      <c r="A107" s="4" t="s">
        <v>136</v>
      </c>
      <c r="B107" s="4" t="s">
        <v>134</v>
      </c>
      <c r="C107" s="4" t="s">
        <v>158</v>
      </c>
      <c r="D107" s="4" t="s">
        <v>81</v>
      </c>
      <c r="E107" s="6">
        <v>1688</v>
      </c>
      <c r="F107" s="5">
        <v>365.2</v>
      </c>
      <c r="H107" t="str">
        <f t="shared" si="6"/>
        <v>("Praha", "Vokovice", "695/2", "V-31151/2024-101", "JC = 365 Kč/m2"),</v>
      </c>
    </row>
    <row r="108" spans="1:8" x14ac:dyDescent="0.3">
      <c r="A108" s="4" t="s">
        <v>136</v>
      </c>
      <c r="B108" s="4" t="s">
        <v>134</v>
      </c>
      <c r="C108" s="4" t="s">
        <v>145</v>
      </c>
      <c r="D108" s="4" t="s">
        <v>81</v>
      </c>
      <c r="E108" s="6">
        <v>174</v>
      </c>
      <c r="F108" s="5">
        <v>365.2</v>
      </c>
      <c r="H108" t="str">
        <f t="shared" si="6"/>
        <v>("Praha", "Vokovice", "695/3", "V-31151/2024-101", "JC = 365 Kč/m2"),</v>
      </c>
    </row>
    <row r="109" spans="1:8" x14ac:dyDescent="0.3">
      <c r="A109" s="4" t="s">
        <v>136</v>
      </c>
      <c r="B109" s="4" t="s">
        <v>389</v>
      </c>
      <c r="E109" s="6">
        <v>7940</v>
      </c>
      <c r="F109" s="5">
        <v>365.2</v>
      </c>
    </row>
    <row r="110" spans="1:8" x14ac:dyDescent="0.3">
      <c r="A110" s="4" t="s">
        <v>398</v>
      </c>
      <c r="E110" s="6">
        <v>7940</v>
      </c>
      <c r="F110" s="5">
        <v>365.2</v>
      </c>
    </row>
    <row r="111" spans="1:8" x14ac:dyDescent="0.3">
      <c r="A111" s="4" t="s">
        <v>376</v>
      </c>
      <c r="E111" s="6">
        <v>207991</v>
      </c>
      <c r="F111" s="5">
        <v>274.71282051282049</v>
      </c>
    </row>
  </sheetData>
  <pageMargins left="0.75" right="0.75" top="1" bottom="1" header="0.5" footer="0.5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Trubač</cp:lastModifiedBy>
  <dcterms:created xsi:type="dcterms:W3CDTF">2026-06-24T16:38:47Z</dcterms:created>
  <dcterms:modified xsi:type="dcterms:W3CDTF">2026-06-24T18:00:30Z</dcterms:modified>
</cp:coreProperties>
</file>